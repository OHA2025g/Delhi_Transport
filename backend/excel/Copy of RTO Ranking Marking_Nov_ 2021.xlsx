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filterPrivacy="1" codeName="ThisWorkbook"/>
  <xr:revisionPtr revIDLastSave="0" documentId="13_ncr:1_{154BF7B6-FC15-EA43-9ACA-3309194FD4B9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max manual challan table" sheetId="23" r:id="rId1"/>
    <sheet name="Final Ranking-Nov" sheetId="18" r:id="rId2"/>
    <sheet name="Final Ranking Oct" sheetId="24" r:id="rId3"/>
    <sheet name="max cash table" sheetId="21" r:id="rId4"/>
    <sheet name="Online Revenue_Nov 2021" sheetId="9" r:id="rId5"/>
    <sheet name="sarathi pendency Nov 2021" sheetId="8" r:id="rId6"/>
    <sheet name="vahan pendency_Nov 2021" sheetId="7" r:id="rId7"/>
  </sheets>
  <externalReferences>
    <externalReference r:id="rId8"/>
  </externalReferences>
  <definedNames>
    <definedName name="_xlnm._FilterDatabase" localSheetId="1" hidden="1">'Final Ranking-Nov'!$A$1:$M$51</definedName>
    <definedName name="_xlnm._FilterDatabase" localSheetId="0" hidden="1">'max manual challan table'!$A$2:$L$52</definedName>
    <definedName name="_xlnm._FilterDatabase" localSheetId="4" hidden="1">'Online Revenue_Nov 2021'!$A$1:$O$52</definedName>
    <definedName name="_xlnm._FilterDatabase" localSheetId="5" hidden="1">'sarathi pendency Nov 2021'!$A$1:$G$1</definedName>
    <definedName name="_xlnm._FilterDatabase" localSheetId="6" hidden="1">'vahan pendency_Nov 2021'!$A$1:$G$53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34" i="18" l="1"/>
  <c r="M10" i="18"/>
  <c r="M3" i="18"/>
  <c r="M8" i="18"/>
  <c r="M6" i="18"/>
  <c r="M15" i="18"/>
  <c r="M5" i="18"/>
  <c r="M14" i="18"/>
  <c r="M2" i="18"/>
  <c r="M12" i="18"/>
  <c r="M18" i="18"/>
  <c r="M20" i="18"/>
  <c r="M31" i="18"/>
  <c r="M22" i="18"/>
  <c r="M19" i="18"/>
  <c r="M21" i="18"/>
  <c r="M17" i="18"/>
  <c r="M26" i="18"/>
  <c r="M25" i="18"/>
  <c r="M40" i="18"/>
  <c r="M33" i="18"/>
  <c r="M35" i="18"/>
  <c r="M37" i="18"/>
  <c r="M36" i="18"/>
  <c r="M50" i="18"/>
  <c r="M49" i="18"/>
  <c r="M39" i="18"/>
  <c r="M42" i="18"/>
  <c r="M43" i="18"/>
  <c r="M45" i="18"/>
  <c r="M44" i="18"/>
  <c r="L16" i="18"/>
  <c r="M16" i="18" s="1"/>
  <c r="L4" i="18"/>
  <c r="M4" i="18" s="1"/>
  <c r="L9" i="18"/>
  <c r="M9" i="18" s="1"/>
  <c r="L11" i="18"/>
  <c r="M11" i="18" s="1"/>
  <c r="L13" i="18"/>
  <c r="M13" i="18" s="1"/>
  <c r="L23" i="18"/>
  <c r="M23" i="18" s="1"/>
  <c r="L27" i="18"/>
  <c r="M27" i="18" s="1"/>
  <c r="L29" i="18"/>
  <c r="M29" i="18" s="1"/>
  <c r="L30" i="18"/>
  <c r="M30" i="18" s="1"/>
  <c r="L24" i="18"/>
  <c r="M24" i="18" s="1"/>
  <c r="L28" i="18"/>
  <c r="M28" i="18" s="1"/>
  <c r="L51" i="18"/>
  <c r="M51" i="18" s="1"/>
  <c r="L38" i="18"/>
  <c r="M38" i="18" s="1"/>
  <c r="L46" i="18"/>
  <c r="M46" i="18" s="1"/>
  <c r="L48" i="18"/>
  <c r="M48" i="18" s="1"/>
  <c r="L47" i="18"/>
  <c r="M47" i="18" s="1"/>
  <c r="L34" i="18"/>
  <c r="M34" i="18" s="1"/>
  <c r="L41" i="18"/>
  <c r="M41" i="18" s="1"/>
  <c r="L32" i="18"/>
  <c r="M32" i="18" s="1"/>
  <c r="L7" i="18"/>
  <c r="I51" i="24"/>
  <c r="H51" i="24"/>
  <c r="J51" i="24" s="1"/>
  <c r="I50" i="24"/>
  <c r="H50" i="24"/>
  <c r="I49" i="24"/>
  <c r="H49" i="24"/>
  <c r="I48" i="24"/>
  <c r="H48" i="24"/>
  <c r="I47" i="24"/>
  <c r="H47" i="24"/>
  <c r="I46" i="24"/>
  <c r="H46" i="24"/>
  <c r="I45" i="24"/>
  <c r="H45" i="24"/>
  <c r="I44" i="24"/>
  <c r="H44" i="24"/>
  <c r="I43" i="24"/>
  <c r="H43" i="24"/>
  <c r="I42" i="24"/>
  <c r="H42" i="24"/>
  <c r="I41" i="24"/>
  <c r="H41" i="24"/>
  <c r="I40" i="24"/>
  <c r="H40" i="24"/>
  <c r="I39" i="24"/>
  <c r="H39" i="24"/>
  <c r="I38" i="24"/>
  <c r="H38" i="24"/>
  <c r="I37" i="24"/>
  <c r="H37" i="24"/>
  <c r="I36" i="24"/>
  <c r="H36" i="24"/>
  <c r="I35" i="24"/>
  <c r="H35" i="24"/>
  <c r="I34" i="24"/>
  <c r="H34" i="24"/>
  <c r="I33" i="24"/>
  <c r="H33" i="24"/>
  <c r="I32" i="24"/>
  <c r="H32" i="24"/>
  <c r="I31" i="24"/>
  <c r="H31" i="24"/>
  <c r="G31" i="24"/>
  <c r="F31" i="24"/>
  <c r="E31" i="24"/>
  <c r="J31" i="24" s="1"/>
  <c r="J30" i="24"/>
  <c r="I30" i="24"/>
  <c r="H30" i="24"/>
  <c r="G30" i="24"/>
  <c r="F30" i="24"/>
  <c r="E30" i="24"/>
  <c r="I29" i="24"/>
  <c r="H29" i="24"/>
  <c r="G29" i="24"/>
  <c r="F29" i="24"/>
  <c r="E29" i="24"/>
  <c r="J29" i="24" s="1"/>
  <c r="I28" i="24"/>
  <c r="H28" i="24"/>
  <c r="G28" i="24"/>
  <c r="F28" i="24"/>
  <c r="E28" i="24"/>
  <c r="J28" i="24" s="1"/>
  <c r="I27" i="24"/>
  <c r="H27" i="24"/>
  <c r="G27" i="24"/>
  <c r="F27" i="24"/>
  <c r="E27" i="24"/>
  <c r="J27" i="24" s="1"/>
  <c r="J26" i="24"/>
  <c r="I26" i="24"/>
  <c r="H26" i="24"/>
  <c r="G26" i="24"/>
  <c r="F26" i="24"/>
  <c r="E26" i="24"/>
  <c r="I25" i="24"/>
  <c r="H25" i="24"/>
  <c r="G25" i="24"/>
  <c r="F25" i="24"/>
  <c r="E25" i="24"/>
  <c r="J25" i="24" s="1"/>
  <c r="I24" i="24"/>
  <c r="H24" i="24"/>
  <c r="G24" i="24"/>
  <c r="F24" i="24"/>
  <c r="E24" i="24"/>
  <c r="J24" i="24" s="1"/>
  <c r="I23" i="24"/>
  <c r="H23" i="24"/>
  <c r="G23" i="24"/>
  <c r="F23" i="24"/>
  <c r="E23" i="24"/>
  <c r="J23" i="24" s="1"/>
  <c r="J22" i="24"/>
  <c r="I22" i="24"/>
  <c r="H22" i="24"/>
  <c r="G22" i="24"/>
  <c r="F22" i="24"/>
  <c r="E22" i="24"/>
  <c r="I21" i="24"/>
  <c r="H21" i="24"/>
  <c r="G21" i="24"/>
  <c r="F21" i="24"/>
  <c r="E21" i="24"/>
  <c r="J21" i="24" s="1"/>
  <c r="I20" i="24"/>
  <c r="H20" i="24"/>
  <c r="G20" i="24"/>
  <c r="F20" i="24"/>
  <c r="E20" i="24"/>
  <c r="J20" i="24" s="1"/>
  <c r="I19" i="24"/>
  <c r="H19" i="24"/>
  <c r="G19" i="24"/>
  <c r="F19" i="24"/>
  <c r="E19" i="24"/>
  <c r="J19" i="24" s="1"/>
  <c r="J18" i="24"/>
  <c r="I18" i="24"/>
  <c r="H18" i="24"/>
  <c r="G18" i="24"/>
  <c r="F18" i="24"/>
  <c r="E18" i="24"/>
  <c r="I17" i="24"/>
  <c r="H17" i="24"/>
  <c r="G17" i="24"/>
  <c r="F17" i="24"/>
  <c r="E17" i="24"/>
  <c r="J17" i="24" s="1"/>
  <c r="I16" i="24"/>
  <c r="H16" i="24"/>
  <c r="G16" i="24"/>
  <c r="F16" i="24"/>
  <c r="E16" i="24"/>
  <c r="J16" i="24" s="1"/>
  <c r="I15" i="24"/>
  <c r="H15" i="24"/>
  <c r="G15" i="24"/>
  <c r="F15" i="24"/>
  <c r="E15" i="24"/>
  <c r="J15" i="24" s="1"/>
  <c r="J14" i="24"/>
  <c r="I14" i="24"/>
  <c r="H14" i="24"/>
  <c r="G14" i="24"/>
  <c r="F14" i="24"/>
  <c r="E14" i="24"/>
  <c r="I13" i="24"/>
  <c r="H13" i="24"/>
  <c r="G13" i="24"/>
  <c r="F13" i="24"/>
  <c r="E13" i="24"/>
  <c r="J13" i="24" s="1"/>
  <c r="I12" i="24"/>
  <c r="H12" i="24"/>
  <c r="G12" i="24"/>
  <c r="F12" i="24"/>
  <c r="E12" i="24"/>
  <c r="J12" i="24" s="1"/>
  <c r="I11" i="24"/>
  <c r="H11" i="24"/>
  <c r="G11" i="24"/>
  <c r="F11" i="24"/>
  <c r="E11" i="24"/>
  <c r="J11" i="24" s="1"/>
  <c r="J10" i="24"/>
  <c r="I10" i="24"/>
  <c r="H10" i="24"/>
  <c r="G10" i="24"/>
  <c r="F10" i="24"/>
  <c r="E10" i="24"/>
  <c r="I9" i="24"/>
  <c r="H9" i="24"/>
  <c r="G9" i="24"/>
  <c r="F9" i="24"/>
  <c r="E9" i="24"/>
  <c r="J9" i="24" s="1"/>
  <c r="I8" i="24"/>
  <c r="H8" i="24"/>
  <c r="G8" i="24"/>
  <c r="F8" i="24"/>
  <c r="E8" i="24"/>
  <c r="J8" i="24" s="1"/>
  <c r="I7" i="24"/>
  <c r="H7" i="24"/>
  <c r="G7" i="24"/>
  <c r="F7" i="24"/>
  <c r="E7" i="24"/>
  <c r="J7" i="24" s="1"/>
  <c r="J6" i="24"/>
  <c r="I6" i="24"/>
  <c r="H6" i="24"/>
  <c r="G6" i="24"/>
  <c r="F6" i="24"/>
  <c r="E6" i="24"/>
  <c r="I5" i="24"/>
  <c r="H5" i="24"/>
  <c r="G5" i="24"/>
  <c r="F5" i="24"/>
  <c r="E5" i="24"/>
  <c r="J5" i="24" s="1"/>
  <c r="I4" i="24"/>
  <c r="H4" i="24"/>
  <c r="G4" i="24"/>
  <c r="F4" i="24"/>
  <c r="E4" i="24"/>
  <c r="J4" i="24" s="1"/>
  <c r="I3" i="24"/>
  <c r="H3" i="24"/>
  <c r="G3" i="24"/>
  <c r="F3" i="24"/>
  <c r="E3" i="24"/>
  <c r="J3" i="24" s="1"/>
  <c r="J2" i="24"/>
  <c r="I2" i="24"/>
  <c r="H2" i="24"/>
  <c r="G2" i="24"/>
  <c r="F2" i="24"/>
  <c r="E2" i="24"/>
  <c r="J16" i="18" l="1"/>
  <c r="J4" i="18"/>
  <c r="J9" i="18"/>
  <c r="J11" i="18"/>
  <c r="J10" i="18"/>
  <c r="J3" i="18"/>
  <c r="J8" i="18"/>
  <c r="J6" i="18"/>
  <c r="J15" i="18"/>
  <c r="J5" i="18"/>
  <c r="J13" i="18"/>
  <c r="J14" i="18"/>
  <c r="J2" i="18"/>
  <c r="J12" i="18"/>
  <c r="J23" i="18"/>
  <c r="J27" i="18"/>
  <c r="J18" i="18"/>
  <c r="J20" i="18"/>
  <c r="J29" i="18"/>
  <c r="J31" i="18"/>
  <c r="J22" i="18"/>
  <c r="J30" i="18"/>
  <c r="J19" i="18"/>
  <c r="J24" i="18"/>
  <c r="J21" i="18"/>
  <c r="J28" i="18"/>
  <c r="J17" i="18"/>
  <c r="J26" i="18"/>
  <c r="J25" i="18"/>
  <c r="J51" i="18"/>
  <c r="J38" i="18"/>
  <c r="J46" i="18"/>
  <c r="J48" i="18"/>
  <c r="J47" i="18"/>
  <c r="J41" i="18"/>
  <c r="J32" i="18"/>
  <c r="J40" i="18"/>
  <c r="J33" i="18"/>
  <c r="J35" i="18"/>
  <c r="J37" i="18"/>
  <c r="J36" i="18"/>
  <c r="J50" i="18"/>
  <c r="J49" i="18"/>
  <c r="J39" i="18"/>
  <c r="J42" i="18"/>
  <c r="J43" i="18"/>
  <c r="J45" i="18"/>
  <c r="J44" i="18"/>
  <c r="J7" i="18"/>
  <c r="I48" i="23"/>
  <c r="I45" i="23"/>
  <c r="I31" i="23"/>
  <c r="I40" i="23"/>
  <c r="I20" i="23"/>
  <c r="I28" i="23"/>
  <c r="I9" i="23"/>
  <c r="I29" i="23"/>
  <c r="I19" i="23"/>
  <c r="I10" i="23"/>
  <c r="I23" i="23"/>
  <c r="I21" i="23"/>
  <c r="I18" i="23"/>
  <c r="I34" i="23"/>
  <c r="I3" i="23"/>
  <c r="I22" i="23"/>
  <c r="I32" i="23"/>
  <c r="I16" i="23"/>
  <c r="I47" i="23"/>
  <c r="I25" i="23"/>
  <c r="I33" i="23"/>
  <c r="I27" i="23"/>
  <c r="I15" i="23"/>
  <c r="I30" i="23"/>
  <c r="I13" i="23"/>
  <c r="I7" i="23"/>
  <c r="I36" i="23"/>
  <c r="I17" i="23"/>
  <c r="I11" i="23"/>
  <c r="I50" i="23"/>
  <c r="I38" i="23"/>
  <c r="I6" i="23"/>
  <c r="I35" i="23"/>
  <c r="I41" i="23"/>
  <c r="I43" i="23"/>
  <c r="I4" i="23"/>
  <c r="I46" i="23"/>
  <c r="I5" i="23"/>
  <c r="I49" i="23"/>
  <c r="I8" i="23"/>
  <c r="I14" i="23"/>
  <c r="I12" i="23"/>
  <c r="I37" i="23"/>
  <c r="I51" i="23"/>
  <c r="I52" i="23"/>
  <c r="I26" i="23"/>
  <c r="I42" i="23"/>
  <c r="I39" i="23"/>
  <c r="I44" i="23"/>
  <c r="I24" i="23"/>
  <c r="H48" i="23"/>
  <c r="J48" i="23" s="1"/>
  <c r="H45" i="23"/>
  <c r="L45" i="23" s="1"/>
  <c r="H31" i="23"/>
  <c r="J31" i="23" s="1"/>
  <c r="H40" i="23"/>
  <c r="J40" i="23" s="1"/>
  <c r="H20" i="23"/>
  <c r="J20" i="23" s="1"/>
  <c r="H28" i="23"/>
  <c r="J28" i="23" s="1"/>
  <c r="H9" i="23"/>
  <c r="J9" i="23" s="1"/>
  <c r="H29" i="23"/>
  <c r="J29" i="23" s="1"/>
  <c r="H19" i="23"/>
  <c r="J19" i="23" s="1"/>
  <c r="H10" i="23"/>
  <c r="J10" i="23" s="1"/>
  <c r="H23" i="23"/>
  <c r="J23" i="23" s="1"/>
  <c r="H21" i="23"/>
  <c r="J21" i="23" s="1"/>
  <c r="H18" i="23"/>
  <c r="J18" i="23" s="1"/>
  <c r="H34" i="23"/>
  <c r="J34" i="23" s="1"/>
  <c r="H3" i="23"/>
  <c r="J3" i="23" s="1"/>
  <c r="H22" i="23"/>
  <c r="J22" i="23" s="1"/>
  <c r="H32" i="23"/>
  <c r="J32" i="23" s="1"/>
  <c r="H16" i="23"/>
  <c r="J16" i="23" s="1"/>
  <c r="H47" i="23"/>
  <c r="J47" i="23" s="1"/>
  <c r="H25" i="23"/>
  <c r="J25" i="23" s="1"/>
  <c r="H33" i="23"/>
  <c r="J33" i="23" s="1"/>
  <c r="H27" i="23"/>
  <c r="J27" i="23" s="1"/>
  <c r="H15" i="23"/>
  <c r="J15" i="23" s="1"/>
  <c r="H30" i="23"/>
  <c r="J30" i="23" s="1"/>
  <c r="H13" i="23"/>
  <c r="J13" i="23" s="1"/>
  <c r="H7" i="23"/>
  <c r="J7" i="23" s="1"/>
  <c r="H36" i="23"/>
  <c r="J36" i="23" s="1"/>
  <c r="H17" i="23"/>
  <c r="J17" i="23" s="1"/>
  <c r="H11" i="23"/>
  <c r="J11" i="23" s="1"/>
  <c r="H50" i="23"/>
  <c r="J50" i="23" s="1"/>
  <c r="H38" i="23"/>
  <c r="J38" i="23" s="1"/>
  <c r="H6" i="23"/>
  <c r="J6" i="23" s="1"/>
  <c r="H35" i="23"/>
  <c r="J35" i="23" s="1"/>
  <c r="H41" i="23"/>
  <c r="J41" i="23" s="1"/>
  <c r="H43" i="23"/>
  <c r="J43" i="23" s="1"/>
  <c r="H4" i="23"/>
  <c r="J4" i="23" s="1"/>
  <c r="H46" i="23"/>
  <c r="J46" i="23" s="1"/>
  <c r="H5" i="23"/>
  <c r="J5" i="23" s="1"/>
  <c r="H49" i="23"/>
  <c r="J49" i="23" s="1"/>
  <c r="H8" i="23"/>
  <c r="J8" i="23" s="1"/>
  <c r="H14" i="23"/>
  <c r="J14" i="23" s="1"/>
  <c r="H12" i="23"/>
  <c r="J12" i="23" s="1"/>
  <c r="H37" i="23"/>
  <c r="J37" i="23" s="1"/>
  <c r="H51" i="23"/>
  <c r="H52" i="23"/>
  <c r="H26" i="23"/>
  <c r="J26" i="23" s="1"/>
  <c r="H42" i="23"/>
  <c r="J42" i="23" s="1"/>
  <c r="H39" i="23"/>
  <c r="J39" i="23" s="1"/>
  <c r="H44" i="23"/>
  <c r="J44" i="23" s="1"/>
  <c r="H24" i="23"/>
  <c r="L24" i="23" s="1"/>
  <c r="F2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9"/>
  <c r="E52" i="9"/>
  <c r="L49" i="23" l="1"/>
  <c r="L22" i="23"/>
  <c r="L4" i="23"/>
  <c r="L3" i="23"/>
  <c r="L18" i="23"/>
  <c r="L39" i="23"/>
  <c r="L26" i="23"/>
  <c r="L42" i="23"/>
  <c r="L15" i="23"/>
  <c r="L38" i="23"/>
  <c r="L8" i="23"/>
  <c r="L21" i="23"/>
  <c r="L48" i="23"/>
  <c r="L33" i="23"/>
  <c r="L50" i="23"/>
  <c r="L30" i="23"/>
  <c r="L46" i="23"/>
  <c r="L12" i="23"/>
  <c r="L41" i="23"/>
  <c r="L29" i="23"/>
  <c r="L7" i="23"/>
  <c r="L31" i="23"/>
  <c r="L37" i="23"/>
  <c r="L36" i="23"/>
  <c r="L23" i="23"/>
  <c r="L43" i="23"/>
  <c r="L47" i="23"/>
  <c r="L16" i="23"/>
  <c r="L44" i="23"/>
  <c r="L11" i="23"/>
  <c r="L40" i="23"/>
  <c r="L13" i="23"/>
  <c r="L19" i="23"/>
  <c r="L25" i="23"/>
  <c r="L10" i="23"/>
  <c r="L6" i="23"/>
  <c r="L32" i="23"/>
  <c r="L17" i="23"/>
  <c r="L20" i="23"/>
  <c r="L28" i="23"/>
  <c r="L35" i="23"/>
  <c r="L5" i="23"/>
  <c r="L9" i="23"/>
  <c r="L34" i="23"/>
  <c r="L14" i="23"/>
  <c r="L27" i="23"/>
  <c r="K37" i="23"/>
  <c r="K43" i="23"/>
  <c r="K36" i="23"/>
  <c r="K47" i="23"/>
  <c r="K23" i="23"/>
  <c r="K24" i="23"/>
  <c r="K12" i="23"/>
  <c r="K41" i="23"/>
  <c r="K7" i="23"/>
  <c r="K16" i="23"/>
  <c r="K10" i="23"/>
  <c r="K45" i="23"/>
  <c r="K8" i="23"/>
  <c r="K29" i="23"/>
  <c r="K42" i="23"/>
  <c r="K49" i="23"/>
  <c r="K38" i="23"/>
  <c r="K15" i="23"/>
  <c r="K3" i="23"/>
  <c r="K9" i="23"/>
  <c r="K22" i="23"/>
  <c r="K26" i="23"/>
  <c r="K5" i="23"/>
  <c r="K50" i="23"/>
  <c r="K27" i="23"/>
  <c r="K34" i="23"/>
  <c r="K28" i="23"/>
  <c r="K6" i="23"/>
  <c r="K46" i="23"/>
  <c r="K11" i="23"/>
  <c r="K33" i="23"/>
  <c r="K18" i="23"/>
  <c r="K20" i="23"/>
  <c r="K39" i="23"/>
  <c r="K30" i="23"/>
  <c r="K4" i="23"/>
  <c r="K17" i="23"/>
  <c r="K25" i="23"/>
  <c r="K21" i="23"/>
  <c r="K40" i="23"/>
  <c r="K44" i="23"/>
  <c r="K14" i="23"/>
  <c r="K35" i="23"/>
  <c r="K32" i="23"/>
  <c r="K19" i="23"/>
  <c r="K48" i="23"/>
  <c r="K13" i="23"/>
  <c r="K31" i="23"/>
  <c r="J45" i="23"/>
  <c r="E52" i="8" l="1"/>
  <c r="D52" i="8"/>
  <c r="J24" i="23"/>
  <c r="N13" i="21"/>
  <c r="N12" i="21"/>
  <c r="N8" i="21"/>
  <c r="N23" i="21"/>
  <c r="N43" i="21"/>
  <c r="N34" i="21"/>
  <c r="N33" i="21"/>
  <c r="I52" i="21"/>
  <c r="H52" i="21"/>
  <c r="G52" i="21"/>
  <c r="L2" i="21"/>
  <c r="K2" i="21"/>
  <c r="N2" i="21" s="1"/>
  <c r="J2" i="21"/>
  <c r="M2" i="21" s="1"/>
  <c r="L31" i="21"/>
  <c r="K31" i="21"/>
  <c r="N31" i="21" s="1"/>
  <c r="J31" i="21"/>
  <c r="M31" i="21" s="1"/>
  <c r="L3" i="21"/>
  <c r="K3" i="21"/>
  <c r="N3" i="21" s="1"/>
  <c r="J3" i="21"/>
  <c r="M3" i="21" s="1"/>
  <c r="L4" i="21"/>
  <c r="K4" i="21"/>
  <c r="N4" i="21" s="1"/>
  <c r="J4" i="21"/>
  <c r="M4" i="21" s="1"/>
  <c r="L6" i="21"/>
  <c r="K6" i="21"/>
  <c r="N6" i="21" s="1"/>
  <c r="J6" i="21"/>
  <c r="M6" i="21" s="1"/>
  <c r="L5" i="21"/>
  <c r="K5" i="21"/>
  <c r="N5" i="21" s="1"/>
  <c r="J5" i="21"/>
  <c r="M5" i="21" s="1"/>
  <c r="L7" i="21"/>
  <c r="K7" i="21"/>
  <c r="J7" i="21"/>
  <c r="M7" i="21" s="1"/>
  <c r="N7" i="21" s="1"/>
  <c r="L12" i="21"/>
  <c r="K12" i="21"/>
  <c r="J12" i="21"/>
  <c r="M12" i="21" s="1"/>
  <c r="L8" i="21"/>
  <c r="K8" i="21"/>
  <c r="J8" i="21"/>
  <c r="M8" i="21" s="1"/>
  <c r="L15" i="21"/>
  <c r="K15" i="21"/>
  <c r="N15" i="21" s="1"/>
  <c r="J15" i="21"/>
  <c r="M15" i="21" s="1"/>
  <c r="L10" i="21"/>
  <c r="K10" i="21"/>
  <c r="N10" i="21" s="1"/>
  <c r="J10" i="21"/>
  <c r="M10" i="21" s="1"/>
  <c r="L13" i="21"/>
  <c r="K13" i="21"/>
  <c r="J13" i="21"/>
  <c r="M13" i="21" s="1"/>
  <c r="M11" i="21"/>
  <c r="L11" i="21"/>
  <c r="K11" i="21"/>
  <c r="N11" i="21" s="1"/>
  <c r="J11" i="21"/>
  <c r="M9" i="21"/>
  <c r="L9" i="21"/>
  <c r="K9" i="21"/>
  <c r="N9" i="21" s="1"/>
  <c r="J9" i="21"/>
  <c r="L14" i="21"/>
  <c r="K14" i="21"/>
  <c r="N14" i="21" s="1"/>
  <c r="J14" i="21"/>
  <c r="M14" i="21" s="1"/>
  <c r="L26" i="21"/>
  <c r="K26" i="21"/>
  <c r="N26" i="21" s="1"/>
  <c r="J26" i="21"/>
  <c r="M26" i="21" s="1"/>
  <c r="L38" i="21"/>
  <c r="K38" i="21"/>
  <c r="N38" i="21" s="1"/>
  <c r="J38" i="21"/>
  <c r="M38" i="21" s="1"/>
  <c r="L19" i="21"/>
  <c r="K19" i="21"/>
  <c r="N19" i="21" s="1"/>
  <c r="J19" i="21"/>
  <c r="M19" i="21" s="1"/>
  <c r="L24" i="21"/>
  <c r="K24" i="21"/>
  <c r="N24" i="21" s="1"/>
  <c r="J24" i="21"/>
  <c r="M24" i="21" s="1"/>
  <c r="L17" i="21"/>
  <c r="K17" i="21"/>
  <c r="N17" i="21" s="1"/>
  <c r="J17" i="21"/>
  <c r="M17" i="21" s="1"/>
  <c r="L18" i="21"/>
  <c r="K18" i="21"/>
  <c r="N18" i="21" s="1"/>
  <c r="J18" i="21"/>
  <c r="M18" i="21" s="1"/>
  <c r="L36" i="21"/>
  <c r="K36" i="21"/>
  <c r="N36" i="21" s="1"/>
  <c r="J36" i="21"/>
  <c r="M36" i="21" s="1"/>
  <c r="L37" i="21"/>
  <c r="K37" i="21"/>
  <c r="N37" i="21" s="1"/>
  <c r="J37" i="21"/>
  <c r="M37" i="21" s="1"/>
  <c r="L21" i="21"/>
  <c r="K21" i="21"/>
  <c r="N21" i="21" s="1"/>
  <c r="J21" i="21"/>
  <c r="M21" i="21" s="1"/>
  <c r="L25" i="21"/>
  <c r="K25" i="21"/>
  <c r="N25" i="21" s="1"/>
  <c r="J25" i="21"/>
  <c r="M25" i="21" s="1"/>
  <c r="L20" i="21"/>
  <c r="K20" i="21"/>
  <c r="N20" i="21" s="1"/>
  <c r="J20" i="21"/>
  <c r="M20" i="21" s="1"/>
  <c r="L16" i="21"/>
  <c r="K16" i="21"/>
  <c r="N16" i="21" s="1"/>
  <c r="J16" i="21"/>
  <c r="M16" i="21" s="1"/>
  <c r="L50" i="21"/>
  <c r="K50" i="21"/>
  <c r="N50" i="21" s="1"/>
  <c r="J50" i="21"/>
  <c r="M50" i="21" s="1"/>
  <c r="L22" i="21"/>
  <c r="K22" i="21"/>
  <c r="N22" i="21" s="1"/>
  <c r="J22" i="21"/>
  <c r="M22" i="21" s="1"/>
  <c r="L23" i="21"/>
  <c r="K23" i="21"/>
  <c r="J23" i="21"/>
  <c r="M23" i="21" s="1"/>
  <c r="L29" i="21"/>
  <c r="K29" i="21"/>
  <c r="N29" i="21" s="1"/>
  <c r="J29" i="21"/>
  <c r="M29" i="21" s="1"/>
  <c r="L40" i="21"/>
  <c r="K40" i="21"/>
  <c r="N40" i="21" s="1"/>
  <c r="J40" i="21"/>
  <c r="M40" i="21" s="1"/>
  <c r="L27" i="21"/>
  <c r="K27" i="21"/>
  <c r="N27" i="21" s="1"/>
  <c r="J27" i="21"/>
  <c r="M27" i="21" s="1"/>
  <c r="L28" i="21"/>
  <c r="K28" i="21"/>
  <c r="N28" i="21" s="1"/>
  <c r="J28" i="21"/>
  <c r="M28" i="21" s="1"/>
  <c r="L30" i="21"/>
  <c r="K30" i="21"/>
  <c r="N30" i="21" s="1"/>
  <c r="J30" i="21"/>
  <c r="M30" i="21" s="1"/>
  <c r="L45" i="21"/>
  <c r="K45" i="21"/>
  <c r="N45" i="21" s="1"/>
  <c r="J45" i="21"/>
  <c r="M45" i="21" s="1"/>
  <c r="L42" i="21"/>
  <c r="K42" i="21"/>
  <c r="N42" i="21" s="1"/>
  <c r="J42" i="21"/>
  <c r="M42" i="21" s="1"/>
  <c r="L34" i="21"/>
  <c r="K34" i="21"/>
  <c r="J34" i="21"/>
  <c r="M34" i="21" s="1"/>
  <c r="L43" i="21"/>
  <c r="K43" i="21"/>
  <c r="J43" i="21"/>
  <c r="M43" i="21" s="1"/>
  <c r="L35" i="21"/>
  <c r="K35" i="21"/>
  <c r="N35" i="21" s="1"/>
  <c r="J35" i="21"/>
  <c r="M35" i="21" s="1"/>
  <c r="L32" i="21"/>
  <c r="K32" i="21"/>
  <c r="N32" i="21" s="1"/>
  <c r="J32" i="21"/>
  <c r="M32" i="21" s="1"/>
  <c r="L33" i="21"/>
  <c r="K33" i="21"/>
  <c r="J33" i="21"/>
  <c r="M33" i="21" s="1"/>
  <c r="L39" i="21"/>
  <c r="K39" i="21"/>
  <c r="N39" i="21" s="1"/>
  <c r="J39" i="21"/>
  <c r="M39" i="21" s="1"/>
  <c r="L47" i="21"/>
  <c r="K47" i="21"/>
  <c r="N47" i="21" s="1"/>
  <c r="J47" i="21"/>
  <c r="M47" i="21" s="1"/>
  <c r="L46" i="21"/>
  <c r="K46" i="21"/>
  <c r="N46" i="21" s="1"/>
  <c r="J46" i="21"/>
  <c r="M46" i="21" s="1"/>
  <c r="L41" i="21"/>
  <c r="K41" i="21"/>
  <c r="N41" i="21" s="1"/>
  <c r="J41" i="21"/>
  <c r="M41" i="21" s="1"/>
  <c r="L51" i="21"/>
  <c r="K51" i="21"/>
  <c r="N51" i="21" s="1"/>
  <c r="J51" i="21"/>
  <c r="M51" i="21" s="1"/>
  <c r="L44" i="21"/>
  <c r="K44" i="21"/>
  <c r="N44" i="21" s="1"/>
  <c r="J44" i="21"/>
  <c r="M44" i="21" s="1"/>
  <c r="L49" i="21"/>
  <c r="K49" i="21"/>
  <c r="N49" i="21" s="1"/>
  <c r="J49" i="21"/>
  <c r="M49" i="21" s="1"/>
  <c r="L48" i="21"/>
  <c r="K48" i="21"/>
  <c r="N48" i="21" s="1"/>
  <c r="J48" i="21"/>
  <c r="M48" i="21" s="1"/>
  <c r="K52" i="21" l="1"/>
  <c r="L52" i="21"/>
  <c r="O25" i="21"/>
  <c r="O24" i="21"/>
  <c r="O14" i="21"/>
  <c r="O40" i="21"/>
  <c r="M52" i="21"/>
  <c r="O51" i="21"/>
  <c r="J52" i="21"/>
  <c r="O43" i="21" l="1"/>
  <c r="O9" i="21"/>
  <c r="O35" i="21"/>
  <c r="O41" i="21"/>
  <c r="O26" i="21"/>
  <c r="O50" i="21"/>
  <c r="O32" i="21"/>
  <c r="O11" i="21"/>
  <c r="O36" i="21"/>
  <c r="O22" i="21"/>
  <c r="O12" i="21"/>
  <c r="O37" i="21"/>
  <c r="O13" i="21"/>
  <c r="O4" i="21"/>
  <c r="O23" i="21"/>
  <c r="O46" i="21"/>
  <c r="O33" i="21"/>
  <c r="O21" i="21"/>
  <c r="O10" i="21"/>
  <c r="O34" i="21"/>
  <c r="O42" i="21"/>
  <c r="O29" i="21"/>
  <c r="O19" i="21"/>
  <c r="O7" i="21"/>
  <c r="O49" i="21"/>
  <c r="O44" i="21"/>
  <c r="O31" i="21"/>
  <c r="O18" i="21"/>
  <c r="O8" i="21"/>
  <c r="O20" i="21"/>
  <c r="O6" i="21"/>
  <c r="O47" i="21"/>
  <c r="O48" i="21"/>
  <c r="O30" i="21"/>
  <c r="O17" i="21"/>
  <c r="O3" i="21"/>
  <c r="O27" i="21"/>
  <c r="O16" i="21"/>
  <c r="O5" i="21"/>
  <c r="O45" i="21"/>
  <c r="O38" i="21"/>
  <c r="O28" i="21"/>
  <c r="O15" i="21"/>
  <c r="M7" i="18" l="1"/>
  <c r="L29" i="9" l="1"/>
  <c r="L36" i="9"/>
  <c r="L40" i="9" l="1"/>
  <c r="L13" i="9"/>
  <c r="L15" i="9"/>
  <c r="J22" i="9"/>
  <c r="J44" i="9"/>
  <c r="J25" i="9"/>
  <c r="M25" i="9" s="1"/>
  <c r="J24" i="9"/>
  <c r="K11" i="9"/>
  <c r="J11" i="9"/>
  <c r="J50" i="9"/>
  <c r="M50" i="9" s="1"/>
  <c r="J14" i="9"/>
  <c r="L49" i="9"/>
  <c r="L33" i="9"/>
  <c r="K8" i="9"/>
  <c r="L50" i="9"/>
  <c r="J30" i="9"/>
  <c r="J5" i="9"/>
  <c r="L11" i="9"/>
  <c r="J42" i="9"/>
  <c r="K23" i="9"/>
  <c r="K6" i="9"/>
  <c r="K20" i="9"/>
  <c r="K38" i="9"/>
  <c r="K31" i="9"/>
  <c r="L6" i="9"/>
  <c r="J12" i="9"/>
  <c r="L30" i="9"/>
  <c r="J13" i="9"/>
  <c r="L32" i="9"/>
  <c r="L22" i="9"/>
  <c r="L39" i="9"/>
  <c r="L38" i="9"/>
  <c r="L25" i="9"/>
  <c r="J27" i="9"/>
  <c r="M27" i="9" s="1"/>
  <c r="L26" i="9"/>
  <c r="J4" i="9"/>
  <c r="M4" i="9" s="1"/>
  <c r="H52" i="9"/>
  <c r="L42" i="9"/>
  <c r="J43" i="9"/>
  <c r="J29" i="9"/>
  <c r="L21" i="9"/>
  <c r="J19" i="9"/>
  <c r="K35" i="9"/>
  <c r="K2" i="9"/>
  <c r="L46" i="9"/>
  <c r="L14" i="9"/>
  <c r="J33" i="9"/>
  <c r="L24" i="9"/>
  <c r="J26" i="9"/>
  <c r="K9" i="9"/>
  <c r="K43" i="9"/>
  <c r="L7" i="9"/>
  <c r="J7" i="9"/>
  <c r="L47" i="9"/>
  <c r="J47" i="9"/>
  <c r="K49" i="9"/>
  <c r="L43" i="9"/>
  <c r="K7" i="9"/>
  <c r="K47" i="9"/>
  <c r="K27" i="9"/>
  <c r="K36" i="9"/>
  <c r="J17" i="9"/>
  <c r="K32" i="9"/>
  <c r="L9" i="9"/>
  <c r="J9" i="9"/>
  <c r="J40" i="9"/>
  <c r="K13" i="9"/>
  <c r="J18" i="9"/>
  <c r="M18" i="9" s="1"/>
  <c r="J46" i="9"/>
  <c r="K14" i="9"/>
  <c r="J48" i="9"/>
  <c r="L27" i="9"/>
  <c r="J36" i="9"/>
  <c r="L3" i="9"/>
  <c r="K30" i="9"/>
  <c r="L28" i="9"/>
  <c r="K41" i="9"/>
  <c r="J32" i="9"/>
  <c r="L10" i="9"/>
  <c r="K50" i="9"/>
  <c r="L51" i="9"/>
  <c r="K39" i="9"/>
  <c r="J49" i="9"/>
  <c r="L34" i="9"/>
  <c r="K25" i="9"/>
  <c r="L16" i="9"/>
  <c r="K24" i="9"/>
  <c r="J31" i="9"/>
  <c r="K5" i="9"/>
  <c r="L5" i="9"/>
  <c r="J21" i="9"/>
  <c r="L20" i="9"/>
  <c r="K12" i="9"/>
  <c r="L12" i="9"/>
  <c r="L19" i="9"/>
  <c r="K19" i="9"/>
  <c r="J37" i="9"/>
  <c r="K3" i="9"/>
  <c r="J28" i="9"/>
  <c r="M28" i="9" s="1"/>
  <c r="J15" i="9"/>
  <c r="L2" i="9"/>
  <c r="K4" i="9"/>
  <c r="L4" i="9"/>
  <c r="L44" i="9"/>
  <c r="K44" i="9"/>
  <c r="J45" i="9"/>
  <c r="M45" i="9" s="1"/>
  <c r="K10" i="9"/>
  <c r="J51" i="9"/>
  <c r="M51" i="9" s="1"/>
  <c r="M14" i="9"/>
  <c r="J8" i="9"/>
  <c r="K34" i="9"/>
  <c r="J16" i="9"/>
  <c r="K26" i="9"/>
  <c r="K21" i="9"/>
  <c r="K46" i="9"/>
  <c r="I52" i="9"/>
  <c r="L23" i="9"/>
  <c r="K17" i="9"/>
  <c r="K37" i="9"/>
  <c r="K18" i="9"/>
  <c r="K45" i="9"/>
  <c r="K48" i="9"/>
  <c r="G52" i="9"/>
  <c r="K40" i="9"/>
  <c r="K15" i="9"/>
  <c r="L35" i="9"/>
  <c r="L31" i="9"/>
  <c r="K42" i="9"/>
  <c r="L17" i="9"/>
  <c r="K29" i="9"/>
  <c r="L37" i="9"/>
  <c r="K28" i="9"/>
  <c r="L41" i="9"/>
  <c r="L18" i="9"/>
  <c r="K22" i="9"/>
  <c r="L45" i="9"/>
  <c r="K51" i="9"/>
  <c r="L48" i="9"/>
  <c r="K33" i="9"/>
  <c r="K16" i="9"/>
  <c r="J23" i="9"/>
  <c r="J6" i="9"/>
  <c r="J20" i="9"/>
  <c r="J3" i="9"/>
  <c r="J41" i="9"/>
  <c r="J35" i="9"/>
  <c r="J2" i="9"/>
  <c r="J10" i="9"/>
  <c r="J39" i="9"/>
  <c r="J38" i="9"/>
  <c r="J34" i="9"/>
  <c r="L8" i="9"/>
  <c r="N14" i="9" l="1"/>
  <c r="N51" i="9"/>
  <c r="N28" i="9"/>
  <c r="M44" i="9"/>
  <c r="N44" i="9" s="1"/>
  <c r="M12" i="9"/>
  <c r="N12" i="9" s="1"/>
  <c r="M38" i="9"/>
  <c r="N38" i="9" s="1"/>
  <c r="M40" i="9"/>
  <c r="N40" i="9" s="1"/>
  <c r="M26" i="9"/>
  <c r="N26" i="9" s="1"/>
  <c r="M2" i="9"/>
  <c r="N2" i="9" s="1"/>
  <c r="M42" i="9"/>
  <c r="M11" i="9"/>
  <c r="N11" i="9" s="1"/>
  <c r="N50" i="9"/>
  <c r="M30" i="9"/>
  <c r="N30" i="9" s="1"/>
  <c r="M5" i="9"/>
  <c r="N5" i="9" s="1"/>
  <c r="N25" i="9"/>
  <c r="M24" i="9"/>
  <c r="N24" i="9" s="1"/>
  <c r="M20" i="9"/>
  <c r="N20" i="9" s="1"/>
  <c r="N42" i="9"/>
  <c r="M15" i="9"/>
  <c r="N15" i="9" s="1"/>
  <c r="M33" i="9"/>
  <c r="N33" i="9" s="1"/>
  <c r="M22" i="9"/>
  <c r="N22" i="9" s="1"/>
  <c r="M36" i="9"/>
  <c r="N36" i="9" s="1"/>
  <c r="M29" i="9"/>
  <c r="N29" i="9" s="1"/>
  <c r="M10" i="9"/>
  <c r="N10" i="9" s="1"/>
  <c r="M34" i="9"/>
  <c r="N34" i="9" s="1"/>
  <c r="M8" i="9"/>
  <c r="N8" i="9" s="1"/>
  <c r="M48" i="9"/>
  <c r="N48" i="9" s="1"/>
  <c r="M9" i="9"/>
  <c r="N9" i="9" s="1"/>
  <c r="M19" i="9"/>
  <c r="N19" i="9" s="1"/>
  <c r="M16" i="9"/>
  <c r="N16" i="9" s="1"/>
  <c r="M3" i="9"/>
  <c r="N3" i="9" s="1"/>
  <c r="M13" i="9"/>
  <c r="N13" i="9" s="1"/>
  <c r="M7" i="9"/>
  <c r="N7" i="9" s="1"/>
  <c r="N4" i="9"/>
  <c r="M43" i="9"/>
  <c r="N43" i="9" s="1"/>
  <c r="M39" i="9"/>
  <c r="N39" i="9" s="1"/>
  <c r="N45" i="9"/>
  <c r="M47" i="9"/>
  <c r="N47" i="9" s="1"/>
  <c r="M41" i="9"/>
  <c r="N41" i="9" s="1"/>
  <c r="M17" i="9"/>
  <c r="N17" i="9" s="1"/>
  <c r="M46" i="9"/>
  <c r="N46" i="9" s="1"/>
  <c r="N27" i="9"/>
  <c r="K52" i="9"/>
  <c r="J52" i="9"/>
  <c r="M37" i="9"/>
  <c r="N37" i="9" s="1"/>
  <c r="M23" i="9"/>
  <c r="N23" i="9" s="1"/>
  <c r="M21" i="9"/>
  <c r="N21" i="9" s="1"/>
  <c r="M32" i="9"/>
  <c r="N32" i="9" s="1"/>
  <c r="M49" i="9"/>
  <c r="N49" i="9" s="1"/>
  <c r="L52" i="9"/>
  <c r="M35" i="9"/>
  <c r="N35" i="9" s="1"/>
  <c r="M6" i="9"/>
  <c r="N6" i="9" s="1"/>
  <c r="N18" i="9"/>
  <c r="M31" i="9"/>
  <c r="M52" i="9" l="1"/>
  <c r="N31" i="9"/>
  <c r="F6" i="8" l="1"/>
  <c r="F4" i="8"/>
  <c r="F36" i="8"/>
  <c r="F39" i="8"/>
  <c r="F35" i="8"/>
  <c r="F15" i="8"/>
  <c r="F11" i="8"/>
  <c r="F51" i="8"/>
  <c r="F25" i="8"/>
  <c r="F33" i="8"/>
  <c r="F13" i="8"/>
  <c r="F38" i="8"/>
  <c r="F47" i="8"/>
  <c r="F28" i="8"/>
  <c r="F2" i="8"/>
  <c r="F19" i="8"/>
  <c r="F43" i="8"/>
  <c r="F37" i="8"/>
  <c r="F16" i="8"/>
  <c r="F9" i="8"/>
  <c r="F30" i="8"/>
  <c r="F49" i="8"/>
  <c r="F21" i="8"/>
  <c r="F31" i="8"/>
  <c r="F46" i="8"/>
  <c r="F7" i="8"/>
  <c r="F20" i="8"/>
  <c r="F42" i="8"/>
  <c r="F27" i="8"/>
  <c r="F48" i="8"/>
  <c r="F29" i="8"/>
  <c r="F18" i="8"/>
  <c r="F8" i="8"/>
  <c r="F14" i="8"/>
  <c r="F26" i="8"/>
  <c r="F3" i="8"/>
  <c r="F17" i="8"/>
  <c r="F5" i="8"/>
  <c r="F24" i="8"/>
  <c r="F45" i="8"/>
  <c r="F44" i="8"/>
  <c r="F32" i="8"/>
  <c r="F34" i="8"/>
  <c r="F12" i="8"/>
  <c r="F41" i="8"/>
  <c r="F10" i="8"/>
  <c r="F50" i="8"/>
  <c r="F22" i="8"/>
  <c r="F23" i="8"/>
  <c r="F40" i="8"/>
  <c r="G23" i="8" l="1"/>
  <c r="G19" i="8"/>
  <c r="G8" i="8"/>
  <c r="G30" i="8"/>
  <c r="G42" i="8"/>
  <c r="G32" i="8"/>
  <c r="G13" i="8"/>
  <c r="G39" i="8"/>
  <c r="G7" i="8"/>
  <c r="G16" i="8"/>
  <c r="G5" i="8"/>
  <c r="G27" i="8"/>
  <c r="G49" i="8"/>
  <c r="G33" i="8"/>
  <c r="G10" i="8"/>
  <c r="G2" i="8"/>
  <c r="G26" i="8"/>
  <c r="G24" i="8"/>
  <c r="G17" i="8"/>
  <c r="G48" i="8"/>
  <c r="G28" i="8"/>
  <c r="G6" i="8"/>
  <c r="G20" i="8"/>
  <c r="G22" i="8"/>
  <c r="G15" i="8"/>
  <c r="G36" i="8"/>
  <c r="G35" i="8"/>
  <c r="G18" i="8"/>
  <c r="G3" i="8"/>
  <c r="G38" i="8"/>
  <c r="G12" i="8"/>
  <c r="G9" i="8"/>
  <c r="G47" i="8"/>
  <c r="G37" i="8"/>
  <c r="G29" i="8"/>
  <c r="G50" i="8"/>
  <c r="G25" i="8"/>
  <c r="G41" i="8"/>
  <c r="G46" i="8"/>
  <c r="G40" i="8"/>
  <c r="G11" i="8"/>
  <c r="G4" i="8"/>
  <c r="G21" i="8"/>
  <c r="G14" i="8"/>
  <c r="G44" i="8"/>
  <c r="G34" i="8"/>
  <c r="G43" i="8"/>
  <c r="G45" i="8"/>
  <c r="G31" i="8"/>
  <c r="G23" i="7" l="1"/>
  <c r="G48" i="7"/>
  <c r="G29" i="7"/>
  <c r="G12" i="7"/>
  <c r="G2" i="7"/>
  <c r="G3" i="7"/>
  <c r="G28" i="7"/>
  <c r="G41" i="7"/>
  <c r="G37" i="7"/>
  <c r="G24" i="7"/>
  <c r="G26" i="7"/>
  <c r="G22" i="7"/>
  <c r="G30" i="7"/>
  <c r="G14" i="7"/>
  <c r="G20" i="7"/>
  <c r="G16" i="7"/>
  <c r="G18" i="7"/>
  <c r="G21" i="7"/>
  <c r="G45" i="7"/>
  <c r="G9" i="7"/>
  <c r="G43" i="7"/>
  <c r="G7" i="7"/>
  <c r="G19" i="7"/>
  <c r="G35" i="7"/>
  <c r="G27" i="7"/>
  <c r="G33" i="7"/>
  <c r="G4" i="7"/>
  <c r="G32" i="7"/>
  <c r="G42" i="7"/>
  <c r="G15" i="7"/>
  <c r="G46" i="7"/>
  <c r="G8" i="7"/>
  <c r="G49" i="7"/>
  <c r="G17" i="7"/>
  <c r="G13" i="7"/>
  <c r="G44" i="7"/>
  <c r="G10" i="7"/>
  <c r="G6" i="7"/>
  <c r="G11" i="7"/>
  <c r="G36" i="7"/>
  <c r="G5" i="7"/>
  <c r="G25" i="7"/>
  <c r="G47" i="7"/>
  <c r="G50" i="7"/>
  <c r="G40" i="7"/>
  <c r="G39" i="7"/>
  <c r="G34" i="7"/>
  <c r="G38" i="7"/>
  <c r="G31" i="7"/>
  <c r="O22" i="9"/>
  <c r="O11" i="9"/>
  <c r="O27" i="9"/>
  <c r="O26" i="9"/>
  <c r="O9" i="9"/>
  <c r="O18" i="9"/>
  <c r="O36" i="9"/>
  <c r="O42" i="9"/>
  <c r="O34" i="9"/>
  <c r="O32" i="9"/>
  <c r="O41" i="9"/>
  <c r="O39" i="9"/>
  <c r="O4" i="9"/>
  <c r="O46" i="9"/>
  <c r="O10" i="9"/>
  <c r="O50" i="9"/>
  <c r="O17" i="9"/>
  <c r="O13" i="9"/>
  <c r="O6" i="9"/>
  <c r="O35" i="9"/>
  <c r="O7" i="9"/>
  <c r="O21" i="9"/>
  <c r="O51" i="9"/>
  <c r="O31" i="9"/>
  <c r="O19" i="9"/>
  <c r="O30" i="9"/>
  <c r="O16" i="9"/>
  <c r="O3" i="9"/>
  <c r="O23" i="9"/>
  <c r="O43" i="9"/>
  <c r="O44" i="9"/>
  <c r="O14" i="9"/>
  <c r="O47" i="9"/>
  <c r="O33" i="9"/>
  <c r="O40" i="9"/>
  <c r="O37" i="9"/>
  <c r="O12" i="9"/>
  <c r="O5" i="9"/>
  <c r="O28" i="9"/>
  <c r="O20" i="9"/>
  <c r="O49" i="9"/>
  <c r="O38" i="9"/>
  <c r="O24" i="9"/>
  <c r="O25" i="9"/>
  <c r="O15" i="9"/>
  <c r="O45" i="9"/>
  <c r="O29" i="9"/>
  <c r="O8" i="9"/>
  <c r="O48" i="9"/>
</calcChain>
</file>

<file path=xl/sharedStrings.xml><?xml version="1.0" encoding="utf-8"?>
<sst xmlns="http://schemas.openxmlformats.org/spreadsheetml/2006/main" count="788" uniqueCount="402">
  <si>
    <t>S.No</t>
  </si>
  <si>
    <t>RTO Code</t>
  </si>
  <si>
    <t>Name Of The RTO Office</t>
  </si>
  <si>
    <t>Pending at Office</t>
  </si>
  <si>
    <t>Applications Received</t>
  </si>
  <si>
    <t>MH01</t>
  </si>
  <si>
    <t>MH02</t>
  </si>
  <si>
    <t>MH03</t>
  </si>
  <si>
    <t>MUMBAI (EAST)</t>
  </si>
  <si>
    <t>MH04</t>
  </si>
  <si>
    <t>THANE</t>
  </si>
  <si>
    <t>MH05</t>
  </si>
  <si>
    <t>KALYAN</t>
  </si>
  <si>
    <t>MH06</t>
  </si>
  <si>
    <t>MH07</t>
  </si>
  <si>
    <t>SINDHUDURG</t>
  </si>
  <si>
    <t>MH08</t>
  </si>
  <si>
    <t>RATNAGIRI</t>
  </si>
  <si>
    <t>MH09</t>
  </si>
  <si>
    <t>KOLHAPUR</t>
  </si>
  <si>
    <t>MH10</t>
  </si>
  <si>
    <t>SANGLI</t>
  </si>
  <si>
    <t>MH11</t>
  </si>
  <si>
    <t>SATARA</t>
  </si>
  <si>
    <t>MH12</t>
  </si>
  <si>
    <t>PUNE</t>
  </si>
  <si>
    <t>MH13</t>
  </si>
  <si>
    <t>SOLAPUR</t>
  </si>
  <si>
    <t>MH14</t>
  </si>
  <si>
    <t>PIMPRI-CHINCHWAD</t>
  </si>
  <si>
    <t>MH15</t>
  </si>
  <si>
    <t>NASHIK</t>
  </si>
  <si>
    <t>MH16</t>
  </si>
  <si>
    <t>AHMEDNAGAR</t>
  </si>
  <si>
    <t>MH17</t>
  </si>
  <si>
    <t>SHRIRAMPUR</t>
  </si>
  <si>
    <t>MH18</t>
  </si>
  <si>
    <t>DHULE</t>
  </si>
  <si>
    <t>MH19</t>
  </si>
  <si>
    <t>JALGAON</t>
  </si>
  <si>
    <t>MH20</t>
  </si>
  <si>
    <t>AURANGABAD</t>
  </si>
  <si>
    <t>MH21</t>
  </si>
  <si>
    <t>MH22</t>
  </si>
  <si>
    <t>PARBHANI</t>
  </si>
  <si>
    <t>MH23</t>
  </si>
  <si>
    <t>BEED</t>
  </si>
  <si>
    <t>MH24</t>
  </si>
  <si>
    <t>LATUR</t>
  </si>
  <si>
    <t>MH25</t>
  </si>
  <si>
    <t>OSMANABAD</t>
  </si>
  <si>
    <t>MH26</t>
  </si>
  <si>
    <t>NANDED</t>
  </si>
  <si>
    <t>MH27</t>
  </si>
  <si>
    <t>AMRAVATI</t>
  </si>
  <si>
    <t>MH28</t>
  </si>
  <si>
    <t>BULDHANA</t>
  </si>
  <si>
    <t>MH29</t>
  </si>
  <si>
    <t>YAWATMAL</t>
  </si>
  <si>
    <t>MH30</t>
  </si>
  <si>
    <t>AKOLA</t>
  </si>
  <si>
    <t>MH31</t>
  </si>
  <si>
    <t>MH32</t>
  </si>
  <si>
    <t>WARDHA</t>
  </si>
  <si>
    <t>MH33</t>
  </si>
  <si>
    <t>GADCHIROLI</t>
  </si>
  <si>
    <t>MH34</t>
  </si>
  <si>
    <t>CHANDRAPUR</t>
  </si>
  <si>
    <t>MH35</t>
  </si>
  <si>
    <t>MH36</t>
  </si>
  <si>
    <t>BHANDARA</t>
  </si>
  <si>
    <t>MH37</t>
  </si>
  <si>
    <t>MH38</t>
  </si>
  <si>
    <t>HINGOLI</t>
  </si>
  <si>
    <t>MH39</t>
  </si>
  <si>
    <t>NANDURBAR</t>
  </si>
  <si>
    <t>MH40</t>
  </si>
  <si>
    <t>MH41</t>
  </si>
  <si>
    <t>MALEGAON</t>
  </si>
  <si>
    <t>MH42</t>
  </si>
  <si>
    <t>BARAMATI</t>
  </si>
  <si>
    <t>MH43</t>
  </si>
  <si>
    <t>VASHI</t>
  </si>
  <si>
    <t>MH44</t>
  </si>
  <si>
    <t>AMBEJOGAI</t>
  </si>
  <si>
    <t>MH45</t>
  </si>
  <si>
    <t>AKLUJ</t>
  </si>
  <si>
    <t>MH46</t>
  </si>
  <si>
    <t>PANVEL</t>
  </si>
  <si>
    <t>MH47</t>
  </si>
  <si>
    <t>BORIVALI</t>
  </si>
  <si>
    <t>MH48</t>
  </si>
  <si>
    <t>VASAI</t>
  </si>
  <si>
    <t>MH49</t>
  </si>
  <si>
    <t>NAGPUR (EAST)</t>
  </si>
  <si>
    <t>MH50</t>
  </si>
  <si>
    <t>KARAD</t>
  </si>
  <si>
    <t>Sr No</t>
  </si>
  <si>
    <t>RTO Name</t>
  </si>
  <si>
    <t>Sarathi Revenue Cash</t>
  </si>
  <si>
    <t>Sarathi Revenue Online</t>
  </si>
  <si>
    <t>Total Sarathi Revenue</t>
  </si>
  <si>
    <t>Vahan Revenue Cash</t>
  </si>
  <si>
    <t>Vahan Revenue Online</t>
  </si>
  <si>
    <t>Vahan Revenue Others</t>
  </si>
  <si>
    <t>Total Vahan Revenue</t>
  </si>
  <si>
    <t>Total Cash Revenue</t>
  </si>
  <si>
    <t>Total Online Revenue</t>
  </si>
  <si>
    <t>Total Revenue</t>
  </si>
  <si>
    <t>GONDHIA</t>
  </si>
  <si>
    <t>PEN (RAIGAD)</t>
  </si>
  <si>
    <t>NAGPUR (RURAL)</t>
  </si>
  <si>
    <t>MUMBAI (CENTRAL)</t>
  </si>
  <si>
    <t>MUMBAI (WEST)</t>
  </si>
  <si>
    <t>NAGPUR (U)</t>
  </si>
  <si>
    <t>WASHIM</t>
  </si>
  <si>
    <t>Sarathi Pendency</t>
  </si>
  <si>
    <t>Vahan Pendency</t>
  </si>
  <si>
    <t>Online Revenue</t>
  </si>
  <si>
    <t>Marks (100)</t>
  </si>
  <si>
    <t>Category</t>
  </si>
  <si>
    <t>A</t>
  </si>
  <si>
    <t>B</t>
  </si>
  <si>
    <t>C</t>
  </si>
  <si>
    <t>MH-20 Aurangabad</t>
  </si>
  <si>
    <t>MH-14 Pimpri-Chinchwad</t>
  </si>
  <si>
    <t>MH-05 Kalyan</t>
  </si>
  <si>
    <t>MH-43 Vashi</t>
  </si>
  <si>
    <t>MH-46 Panvel</t>
  </si>
  <si>
    <t>MH-04 Thane</t>
  </si>
  <si>
    <t>MH-48 Vasai</t>
  </si>
  <si>
    <t>MH-03 Mumbai (East)</t>
  </si>
  <si>
    <t>MH-47 Borivali</t>
  </si>
  <si>
    <t>MH-15 Nashik</t>
  </si>
  <si>
    <t>MH-02 Mumbai (West)</t>
  </si>
  <si>
    <t>MH-01 Mumbai (Central)</t>
  </si>
  <si>
    <t>MH-09 Kolhapur</t>
  </si>
  <si>
    <t>MH-12 Pune</t>
  </si>
  <si>
    <t>MH-34 Chandrapur</t>
  </si>
  <si>
    <t>MH-13 Solapur</t>
  </si>
  <si>
    <t>MH-19 Jalgaon</t>
  </si>
  <si>
    <t>MH-24 Latur</t>
  </si>
  <si>
    <t>MH-49 Nagpur (East)</t>
  </si>
  <si>
    <t>MH-18 Dhule</t>
  </si>
  <si>
    <t>MH-17 Shrirampur</t>
  </si>
  <si>
    <t>MH-16 Ahmednagar</t>
  </si>
  <si>
    <t>MH-42 Baramati</t>
  </si>
  <si>
    <t>MH-26 Nanded</t>
  </si>
  <si>
    <t>MH-11 Satara</t>
  </si>
  <si>
    <t>MH-27 Amravati</t>
  </si>
  <si>
    <t>MH-06 Pen (Raigad)</t>
  </si>
  <si>
    <t>MH-31 Nagpur_City</t>
  </si>
  <si>
    <t>MH-10 Sangli</t>
  </si>
  <si>
    <t>MH-40 Nagpur (Rural)</t>
  </si>
  <si>
    <t>MH-28 Buldhana</t>
  </si>
  <si>
    <t>MH-50 Karad</t>
  </si>
  <si>
    <t>MH-30 Akola</t>
  </si>
  <si>
    <t>MH-44 Ambejogai</t>
  </si>
  <si>
    <t>MH-36 Bhandara</t>
  </si>
  <si>
    <t>MH-35 Gondia</t>
  </si>
  <si>
    <t>MH-29 Yawatmal</t>
  </si>
  <si>
    <t>MH-37 Washim</t>
  </si>
  <si>
    <t>MH-23 Beed</t>
  </si>
  <si>
    <t>MH-45 Akluj</t>
  </si>
  <si>
    <t>MH-21 Jalna</t>
  </si>
  <si>
    <t>MH-25 Osmanabad</t>
  </si>
  <si>
    <t>MH-33 Gadchiroli</t>
  </si>
  <si>
    <t>MH-41 Malegaon</t>
  </si>
  <si>
    <t>MH-39 Nandurbar</t>
  </si>
  <si>
    <t>MH-22 Parbhani</t>
  </si>
  <si>
    <t>MH-08 Ratnagiri</t>
  </si>
  <si>
    <t>MH-38 Hingoli</t>
  </si>
  <si>
    <t>MH-32 Wardha</t>
  </si>
  <si>
    <t>MH-07 Sindhudurg</t>
  </si>
  <si>
    <t>RTO</t>
  </si>
  <si>
    <t>JALANA</t>
  </si>
  <si>
    <t>Code</t>
  </si>
  <si>
    <t xml:space="preserve">Sr. No. </t>
  </si>
  <si>
    <t>Total Applications received</t>
  </si>
  <si>
    <t>Pending applications</t>
  </si>
  <si>
    <t>Pendency</t>
  </si>
  <si>
    <t>RTO Office Code</t>
  </si>
  <si>
    <t>RTO,MUMBAI CENTRAL</t>
  </si>
  <si>
    <t>RTO,MUMBAI (WEST</t>
  </si>
  <si>
    <t>RTO,MUMBAI (EAST)</t>
  </si>
  <si>
    <t>RTO,THANE</t>
  </si>
  <si>
    <t>DY.RTO,KALYAN</t>
  </si>
  <si>
    <t>DY.RTO,PEN(RAIGAD)</t>
  </si>
  <si>
    <t>DY.RTO,SINDHUDURG</t>
  </si>
  <si>
    <t>DY.RTO,RATNAGIRI</t>
  </si>
  <si>
    <t>RTO,KOLHAPUR</t>
  </si>
  <si>
    <t>DY.RTO,SANGLI</t>
  </si>
  <si>
    <t>DY.RTO,SATARA</t>
  </si>
  <si>
    <t>RTO,PUNE</t>
  </si>
  <si>
    <t>DY.RTO,SOLAPUR</t>
  </si>
  <si>
    <t>DY.RTO,PIMPRI-CHINCHWAD</t>
  </si>
  <si>
    <t>RTO,NASHIK</t>
  </si>
  <si>
    <t>DY.RTO,AHMEDNAGAR</t>
  </si>
  <si>
    <t>DY.RTO,SHRIRAMPUR</t>
  </si>
  <si>
    <t>DY.RTO,DHULE</t>
  </si>
  <si>
    <t>DY.RTO,JALGAON</t>
  </si>
  <si>
    <t>RTO,AURANGABAD</t>
  </si>
  <si>
    <t>DY.RTO,JALNA</t>
  </si>
  <si>
    <t>DY.RTO,PARBHANI</t>
  </si>
  <si>
    <t>DY.RTO,BEED</t>
  </si>
  <si>
    <t>RTO,LATUR</t>
  </si>
  <si>
    <t>DY.RTO,OSMANABAD</t>
  </si>
  <si>
    <t>RTO,NANDED</t>
  </si>
  <si>
    <t>RTO,AMRAVATI</t>
  </si>
  <si>
    <t>DY.RTO,BULDHANA</t>
  </si>
  <si>
    <t>DY.RTO,YAWATMAL</t>
  </si>
  <si>
    <t>DY.RTO,AKOLA</t>
  </si>
  <si>
    <t>RTO,NAGPUR_CITY</t>
  </si>
  <si>
    <t>DY. RTO,WARDHA</t>
  </si>
  <si>
    <t>DY. RTO,GADCHIROLI</t>
  </si>
  <si>
    <t>DY. RTO,CHANDRAPUR</t>
  </si>
  <si>
    <t>DY. RTO,GONDIA</t>
  </si>
  <si>
    <t>DY. RTO,BHANDARA</t>
  </si>
  <si>
    <t>DY. RTO,VASHIM</t>
  </si>
  <si>
    <t>DY. RTO,HINGOLI</t>
  </si>
  <si>
    <t>DY. RTO,NANDURBAR</t>
  </si>
  <si>
    <t>RTO,NAGPUR_RURAL</t>
  </si>
  <si>
    <t>DY.RTO,MALEGAON</t>
  </si>
  <si>
    <t>DY.RTO,BARAMATI</t>
  </si>
  <si>
    <t>DY.RTO,VASHI</t>
  </si>
  <si>
    <t>DY.RTO,AMBEJOGAI</t>
  </si>
  <si>
    <t>DY.RTO,AKLUJ</t>
  </si>
  <si>
    <t>RTO, PANVEL</t>
  </si>
  <si>
    <t>DY.RTO,BORIVALI</t>
  </si>
  <si>
    <t>DY. RTO VASAI-VIRAR</t>
  </si>
  <si>
    <t>DY.RTO, NAGPUR (EAST)</t>
  </si>
  <si>
    <t>DY.RTO, KARAD</t>
  </si>
  <si>
    <t>Online Payment %</t>
  </si>
  <si>
    <t>Total</t>
  </si>
  <si>
    <t>Marks</t>
  </si>
  <si>
    <t xml:space="preserve">Marks </t>
  </si>
  <si>
    <t>New Rank</t>
  </si>
  <si>
    <t>Old rank</t>
  </si>
  <si>
    <t>Difference</t>
  </si>
  <si>
    <t>CCTV Challan</t>
  </si>
  <si>
    <t>Device Challan</t>
  </si>
  <si>
    <t>Manual Challan</t>
  </si>
  <si>
    <t>Sub Total</t>
  </si>
  <si>
    <t xml:space="preserve">Sum of Total Challans </t>
  </si>
  <si>
    <t xml:space="preserve">Sum of Challans Pending </t>
  </si>
  <si>
    <t>Challan Collection Pendency</t>
  </si>
  <si>
    <t>Challan collection by device</t>
  </si>
  <si>
    <t xml:space="preserve">Gadchiroli </t>
  </si>
  <si>
    <t xml:space="preserve">Latur </t>
  </si>
  <si>
    <t xml:space="preserve">Solapur </t>
  </si>
  <si>
    <t xml:space="preserve">Chandrapur </t>
  </si>
  <si>
    <t xml:space="preserve">Kolhapur </t>
  </si>
  <si>
    <t xml:space="preserve">Nashik </t>
  </si>
  <si>
    <t xml:space="preserve">Washim </t>
  </si>
  <si>
    <t xml:space="preserve">Jalana </t>
  </si>
  <si>
    <t xml:space="preserve">Ambejogai </t>
  </si>
  <si>
    <t xml:space="preserve">Amrawati </t>
  </si>
  <si>
    <t xml:space="preserve">Baramati </t>
  </si>
  <si>
    <t xml:space="preserve">Jalgaon </t>
  </si>
  <si>
    <t xml:space="preserve">Gondhia </t>
  </si>
  <si>
    <t xml:space="preserve">Nanded </t>
  </si>
  <si>
    <t xml:space="preserve">Borivali </t>
  </si>
  <si>
    <t xml:space="preserve">Bhuldhana </t>
  </si>
  <si>
    <t xml:space="preserve">Bhandara </t>
  </si>
  <si>
    <t xml:space="preserve">Akluj </t>
  </si>
  <si>
    <t xml:space="preserve">Sangli </t>
  </si>
  <si>
    <t xml:space="preserve">Ratnagiri </t>
  </si>
  <si>
    <t xml:space="preserve">Beed </t>
  </si>
  <si>
    <t xml:space="preserve">Wardha </t>
  </si>
  <si>
    <t xml:space="preserve">Vasai </t>
  </si>
  <si>
    <t xml:space="preserve">Kalyan </t>
  </si>
  <si>
    <t xml:space="preserve">Pune </t>
  </si>
  <si>
    <t xml:space="preserve">Dhule </t>
  </si>
  <si>
    <t xml:space="preserve">Hingoli </t>
  </si>
  <si>
    <t xml:space="preserve">Aurangabad </t>
  </si>
  <si>
    <t xml:space="preserve">Panvel </t>
  </si>
  <si>
    <t xml:space="preserve">Malegaon </t>
  </si>
  <si>
    <t xml:space="preserve">Karad </t>
  </si>
  <si>
    <t xml:space="preserve">Nandurbar </t>
  </si>
  <si>
    <t xml:space="preserve">Yawatmal </t>
  </si>
  <si>
    <t xml:space="preserve">Thane </t>
  </si>
  <si>
    <t xml:space="preserve">Akola </t>
  </si>
  <si>
    <t xml:space="preserve">Pimpri-chinchwad </t>
  </si>
  <si>
    <t xml:space="preserve">Ahmednagar </t>
  </si>
  <si>
    <t xml:space="preserve">Parbhani </t>
  </si>
  <si>
    <t xml:space="preserve">Satara </t>
  </si>
  <si>
    <t xml:space="preserve">Osmanabad </t>
  </si>
  <si>
    <t xml:space="preserve">Srirampur </t>
  </si>
  <si>
    <t xml:space="preserve">Nagpur (u) </t>
  </si>
  <si>
    <t xml:space="preserve">Mumbai (central) </t>
  </si>
  <si>
    <t xml:space="preserve">Sindhudurg (kudal) </t>
  </si>
  <si>
    <t xml:space="preserve">Vashi (new Mumbai) </t>
  </si>
  <si>
    <t xml:space="preserve">Mumbai (w) </t>
  </si>
  <si>
    <t>Nagpur (east)</t>
  </si>
  <si>
    <t xml:space="preserve">Pen (Raigad) </t>
  </si>
  <si>
    <t xml:space="preserve">Nagpur (rural) </t>
  </si>
  <si>
    <t xml:space="preserve">Mumbai (e) </t>
  </si>
  <si>
    <t>RTO Office</t>
  </si>
  <si>
    <t>Cash Payment %</t>
  </si>
  <si>
    <t xml:space="preserve">manual challan </t>
  </si>
  <si>
    <t>AHEMEDNAGAR ( MH-16 )</t>
  </si>
  <si>
    <t>AKLUJ ( MH-45 )</t>
  </si>
  <si>
    <t>AKOLA ( MH-30 )</t>
  </si>
  <si>
    <t>AMBEJOGAI ( MH-44 )</t>
  </si>
  <si>
    <t>AMRAWATI ( MH-27 )</t>
  </si>
  <si>
    <t>AURANGABAD ( MH-20 )</t>
  </si>
  <si>
    <t>BARAMATI ( MH-42 )</t>
  </si>
  <si>
    <t>BEED ( MH-23 )</t>
  </si>
  <si>
    <t>BHANDARA ( MH-36 )</t>
  </si>
  <si>
    <t>BULDHANA ( MH-28 )</t>
  </si>
  <si>
    <t>CHANDRAPUR ( MH-34 )</t>
  </si>
  <si>
    <t>DHULE ( MH-18 )</t>
  </si>
  <si>
    <t>DY RTO PIMPRI CHINCHWAD ( MH-14 )</t>
  </si>
  <si>
    <t>DY.R.T.O.BORIVALI ( MH-47 )</t>
  </si>
  <si>
    <t>GADCHIROLI ( MH-33 )</t>
  </si>
  <si>
    <t>GONDHIA ( MH-35 )</t>
  </si>
  <si>
    <t>JALANA ( MH-21 )</t>
  </si>
  <si>
    <t>JALGAON ( MH-19 )</t>
  </si>
  <si>
    <t>KALYAN ( MH-5 )</t>
  </si>
  <si>
    <t>KARAD ( MH-50 )</t>
  </si>
  <si>
    <t>KOLHAPUR ( MH-9 )</t>
  </si>
  <si>
    <t>LATUR ( MH-24 )</t>
  </si>
  <si>
    <t>MALEGAON ( MH-41 )</t>
  </si>
  <si>
    <t>MUMBAI (CENTRAL) ( MH-1 )</t>
  </si>
  <si>
    <t>MUMBAI (EAST) ( MH-3 )</t>
  </si>
  <si>
    <t>MUMBAI (WEST) ( MH-2 )</t>
  </si>
  <si>
    <t>NAGPUR (EAST) ( MH-49 )</t>
  </si>
  <si>
    <t>NAGPUR (RURAL) ( MH-40 )</t>
  </si>
  <si>
    <t>NAGPUR (U) ( MH-31 )</t>
  </si>
  <si>
    <t>NANDED ( MH-26 )</t>
  </si>
  <si>
    <t>NANDURBAR ( MH-39 )</t>
  </si>
  <si>
    <t>NASHIK ( MH-15 )</t>
  </si>
  <si>
    <t>OSMANABAD ( MH-25 )</t>
  </si>
  <si>
    <t>PANVEL ( MH-46 )</t>
  </si>
  <si>
    <t>PARBHANI ( MH-22 )</t>
  </si>
  <si>
    <t>PEN (RAIGAD) ( MH-6 )</t>
  </si>
  <si>
    <t>PUNE ( MH-12 )</t>
  </si>
  <si>
    <t>SANGLI ( MH-10 )</t>
  </si>
  <si>
    <t>SATARA ( MH-11 )</t>
  </si>
  <si>
    <t>SINDHUDURG(KUDAL) ( MH-7 )</t>
  </si>
  <si>
    <t>SOLAPUR ( MH-13 )</t>
  </si>
  <si>
    <t>SRIRAMPUR ( MH-17 )</t>
  </si>
  <si>
    <t>THANE ( MH-4 )</t>
  </si>
  <si>
    <t>VASAI ( MH-48 )</t>
  </si>
  <si>
    <t>VASHI (NEW MUMBAI) ( MH-43 )</t>
  </si>
  <si>
    <t>WARDHA ( MH-32 )</t>
  </si>
  <si>
    <t>WASHIM ( MH-37 )</t>
  </si>
  <si>
    <t>YAWATMAL ( MH-29 )</t>
  </si>
  <si>
    <t>HINGOLI ( MH-38 )</t>
  </si>
  <si>
    <t>MH01-RTO,MUMBAI CENTRAL</t>
  </si>
  <si>
    <t>MH02-RTO,MUMBAI (WEST</t>
  </si>
  <si>
    <t>MH03-RTO,MUMBAI (EAST)</t>
  </si>
  <si>
    <t>MH04-RTO,THANE</t>
  </si>
  <si>
    <t>MH05-DY.RTO,KALYAN</t>
  </si>
  <si>
    <t>MH06-DY.RTO,PEN(RAIGAD)</t>
  </si>
  <si>
    <t>MH07-DY.RTO,SINDHUDURG</t>
  </si>
  <si>
    <t>MH08-DY.RTO,RATNAGIRI</t>
  </si>
  <si>
    <t>MH09-RTO,KOLHAPUR</t>
  </si>
  <si>
    <t>MH10-DY.RTO,SANGLI</t>
  </si>
  <si>
    <t>MH11-DY.RTO,SATARA</t>
  </si>
  <si>
    <t>MH12-RTO,PUNE</t>
  </si>
  <si>
    <t>MH13-DY.RTO,SOLAPUR</t>
  </si>
  <si>
    <t>MH14-DY.RTO,PIMPRI-CHINCHWAD</t>
  </si>
  <si>
    <t>MH15-RTO,NASHIK</t>
  </si>
  <si>
    <t>MH16-DY.RTO,AHMEDNAGAR</t>
  </si>
  <si>
    <t>MH17-DY.RTO,SHRIRAMPUR</t>
  </si>
  <si>
    <t>MH18-DY.RTO,DHULE</t>
  </si>
  <si>
    <t>MH19-DY.RTO,JALGAON</t>
  </si>
  <si>
    <t>MH20-RTO,AURANGABAD</t>
  </si>
  <si>
    <t>MH21-DY.RTO,JALNA</t>
  </si>
  <si>
    <t>MH22-DY.RTO,PARBHANI</t>
  </si>
  <si>
    <t>MH23-DY.RTO,BEED</t>
  </si>
  <si>
    <t>MH24-RTO,LATUR</t>
  </si>
  <si>
    <t>MH25-DY.RTO,OSMANABAD</t>
  </si>
  <si>
    <t>MH26-RTO,NANDED</t>
  </si>
  <si>
    <t>MH27-RTO,AMRAVATI</t>
  </si>
  <si>
    <t>MH28-DY.RTO,BULDHANA</t>
  </si>
  <si>
    <t>MH29-DY.RTO,YAWATMAL</t>
  </si>
  <si>
    <t>MH30-DY.RTO,AKOLA</t>
  </si>
  <si>
    <t>MH31-RTO,NAGPUR_CITY</t>
  </si>
  <si>
    <t>MH32-DY. RTO,WARDHA</t>
  </si>
  <si>
    <t>MH33-DY. RTO,GADCHIROLI</t>
  </si>
  <si>
    <t>MH34-DY. RTO,CHANDRAPUR</t>
  </si>
  <si>
    <t>MH35-DY. RTO,GONDIA</t>
  </si>
  <si>
    <t>MH36-DY. RTO,BHANDARA</t>
  </si>
  <si>
    <t>MH37-DY. RTO,VASHIM</t>
  </si>
  <si>
    <t>MH38-DY. RTO,HINGOLI</t>
  </si>
  <si>
    <t>MH39-DY. RTO,NANDURBAR</t>
  </si>
  <si>
    <t>MH40-RTO,NAGPUR_RURAL</t>
  </si>
  <si>
    <t>MH41-DY.RTO,MALEGAON</t>
  </si>
  <si>
    <t>MH42-DY.RTO,BARAMATI</t>
  </si>
  <si>
    <t>MH43-DY.RTO,VASHI</t>
  </si>
  <si>
    <t>MH44-DY.RTO,AMBEJOGAI</t>
  </si>
  <si>
    <t>MH45-DY.RTO,AKLUJ</t>
  </si>
  <si>
    <t>MH46-RTO, PANVEL</t>
  </si>
  <si>
    <t>MH47-DY.RTO,BORIVALI</t>
  </si>
  <si>
    <t>MH48-DY. RTO VASAI-VIRAR</t>
  </si>
  <si>
    <t>MH49-DY.RTO, NAGPUR (EAST)</t>
  </si>
  <si>
    <t>MH50-DY.RTO, KARAD</t>
  </si>
  <si>
    <t>RATNAGIRI ( MH-8 )</t>
  </si>
  <si>
    <t>% in pendency</t>
  </si>
  <si>
    <t>Challan by device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</si>
</sst>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rgb="FF004100"/>
      <name val="Calibri"/>
      <family val="2"/>
      <scheme val="minor"/>
    </font>
    <font>
      <sz val="8"/>
      <name val="Calibri"/>
      <family val="2"/>
      <scheme val="minor"/>
    </font>
    <font>
      <sz val="9"/>
      <color rgb="FF333333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8" fillId="0" borderId="0"/>
    <xf numFmtId="9" fontId="8" fillId="0" borderId="0" applyFont="0" applyFill="0" applyBorder="0" applyAlignment="0" applyProtection="0"/>
  </cellStyleXfs>
  <cellXfs count="79">
    <xf numFmtId="0" fontId="0" fillId="0" borderId="0" xfId="0"/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7" fillId="0" borderId="1" xfId="0" applyFont="1" applyBorder="1" applyAlignment="1">
      <alignment horizontal="center" wrapText="1"/>
    </xf>
    <xf numFmtId="10" fontId="7" fillId="4" borderId="1" xfId="1" applyNumberFormat="1" applyFont="1" applyFill="1" applyBorder="1" applyAlignment="1">
      <alignment horizontal="center" wrapText="1"/>
    </xf>
    <xf numFmtId="0" fontId="4" fillId="2" borderId="1" xfId="2" applyFont="1" applyFill="1" applyBorder="1" applyAlignment="1">
      <alignment horizontal="center" wrapText="1"/>
    </xf>
    <xf numFmtId="0" fontId="7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3" fontId="0" fillId="0" borderId="0" xfId="0" applyNumberFormat="1"/>
    <xf numFmtId="0" fontId="0" fillId="0" borderId="1" xfId="0" applyBorder="1"/>
    <xf numFmtId="0" fontId="4" fillId="2" borderId="1" xfId="2" applyFont="1" applyFill="1" applyBorder="1" applyAlignment="1">
      <alignment wrapText="1"/>
    </xf>
    <xf numFmtId="2" fontId="6" fillId="5" borderId="1" xfId="2" applyNumberFormat="1" applyFont="1" applyFill="1" applyBorder="1" applyAlignment="1">
      <alignment horizontal="center" wrapText="1"/>
    </xf>
    <xf numFmtId="1" fontId="0" fillId="5" borderId="1" xfId="0" applyNumberFormat="1" applyFill="1" applyBorder="1"/>
    <xf numFmtId="1" fontId="0" fillId="6" borderId="1" xfId="0" applyNumberFormat="1" applyFill="1" applyBorder="1"/>
    <xf numFmtId="1" fontId="0" fillId="7" borderId="1" xfId="0" applyNumberFormat="1" applyFill="1" applyBorder="1"/>
    <xf numFmtId="0" fontId="0" fillId="0" borderId="3" xfId="0" applyBorder="1"/>
    <xf numFmtId="0" fontId="0" fillId="0" borderId="3" xfId="0" applyBorder="1" applyAlignment="1">
      <alignment horizontal="left"/>
    </xf>
    <xf numFmtId="9" fontId="0" fillId="0" borderId="1" xfId="1" applyFont="1" applyBorder="1"/>
    <xf numFmtId="9" fontId="0" fillId="0" borderId="1" xfId="0" applyNumberFormat="1" applyBorder="1"/>
    <xf numFmtId="9" fontId="7" fillId="0" borderId="0" xfId="0" applyNumberFormat="1" applyFont="1" applyAlignment="1">
      <alignment wrapText="1"/>
    </xf>
    <xf numFmtId="0" fontId="7" fillId="0" borderId="1" xfId="0" applyFont="1" applyBorder="1" applyAlignment="1">
      <alignment wrapText="1"/>
    </xf>
    <xf numFmtId="9" fontId="7" fillId="0" borderId="1" xfId="1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2" fillId="0" borderId="1" xfId="0" applyFont="1" applyBorder="1"/>
    <xf numFmtId="164" fontId="7" fillId="7" borderId="1" xfId="0" applyNumberFormat="1" applyFont="1" applyFill="1" applyBorder="1" applyAlignment="1">
      <alignment wrapText="1"/>
    </xf>
    <xf numFmtId="0" fontId="11" fillId="0" borderId="1" xfId="0" applyFont="1" applyBorder="1" applyAlignment="1">
      <alignment wrapText="1"/>
    </xf>
    <xf numFmtId="2" fontId="0" fillId="0" borderId="0" xfId="0" applyNumberFormat="1"/>
    <xf numFmtId="2" fontId="0" fillId="6" borderId="1" xfId="0" applyNumberFormat="1" applyFill="1" applyBorder="1" applyAlignment="1">
      <alignment horizontal="center"/>
    </xf>
    <xf numFmtId="0" fontId="6" fillId="0" borderId="1" xfId="0" applyFont="1" applyBorder="1" applyAlignment="1">
      <alignment wrapText="1"/>
    </xf>
    <xf numFmtId="0" fontId="13" fillId="8" borderId="1" xfId="0" applyFont="1" applyFill="1" applyBorder="1" applyAlignment="1">
      <alignment horizontal="right" wrapText="1"/>
    </xf>
    <xf numFmtId="0" fontId="0" fillId="0" borderId="1" xfId="0" applyBorder="1" applyAlignment="1">
      <alignment wrapText="1"/>
    </xf>
    <xf numFmtId="10" fontId="0" fillId="0" borderId="1" xfId="0" applyNumberFormat="1" applyBorder="1"/>
    <xf numFmtId="164" fontId="0" fillId="5" borderId="1" xfId="0" applyNumberFormat="1" applyFill="1" applyBorder="1"/>
    <xf numFmtId="164" fontId="0" fillId="6" borderId="1" xfId="0" applyNumberFormat="1" applyFill="1" applyBorder="1"/>
    <xf numFmtId="164" fontId="6" fillId="5" borderId="1" xfId="2" applyNumberFormat="1" applyFont="1" applyFill="1" applyBorder="1" applyAlignment="1">
      <alignment horizontal="center" wrapText="1"/>
    </xf>
    <xf numFmtId="164" fontId="6" fillId="6" borderId="1" xfId="2" applyNumberFormat="1" applyFont="1" applyFill="1" applyBorder="1" applyAlignment="1">
      <alignment horizontal="center" wrapText="1"/>
    </xf>
    <xf numFmtId="2" fontId="6" fillId="6" borderId="1" xfId="2" applyNumberFormat="1" applyFont="1" applyFill="1" applyBorder="1" applyAlignment="1">
      <alignment horizontal="center" wrapText="1"/>
    </xf>
    <xf numFmtId="2" fontId="6" fillId="7" borderId="1" xfId="2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0" borderId="0" xfId="3" applyBorder="1"/>
    <xf numFmtId="0" fontId="0" fillId="0" borderId="0" xfId="0" applyBorder="1"/>
    <xf numFmtId="165" fontId="0" fillId="0" borderId="0" xfId="4" applyNumberFormat="1" applyFont="1" applyBorder="1"/>
    <xf numFmtId="165" fontId="8" fillId="0" borderId="0" xfId="3" applyNumberFormat="1" applyBorder="1"/>
    <xf numFmtId="2" fontId="8" fillId="0" borderId="0" xfId="3" applyNumberFormat="1" applyBorder="1"/>
    <xf numFmtId="0" fontId="8" fillId="0" borderId="1" xfId="3" applyBorder="1"/>
    <xf numFmtId="0" fontId="9" fillId="0" borderId="1" xfId="3" applyFont="1" applyBorder="1"/>
    <xf numFmtId="2" fontId="9" fillId="0" borderId="1" xfId="3" applyNumberFormat="1" applyFont="1" applyBorder="1"/>
    <xf numFmtId="0" fontId="6" fillId="0" borderId="1" xfId="2" applyFont="1" applyBorder="1" applyAlignment="1">
      <alignment horizontal="center" wrapText="1"/>
    </xf>
    <xf numFmtId="165" fontId="0" fillId="0" borderId="1" xfId="4" applyNumberFormat="1" applyFont="1" applyBorder="1"/>
    <xf numFmtId="164" fontId="8" fillId="0" borderId="1" xfId="3" applyNumberFormat="1" applyBorder="1"/>
    <xf numFmtId="0" fontId="6" fillId="0" borderId="1" xfId="2" applyFont="1" applyFill="1" applyBorder="1" applyAlignment="1">
      <alignment horizontal="center" wrapText="1"/>
    </xf>
    <xf numFmtId="164" fontId="0" fillId="7" borderId="1" xfId="0" applyNumberFormat="1" applyFill="1" applyBorder="1"/>
    <xf numFmtId="164" fontId="0" fillId="0" borderId="1" xfId="0" applyNumberFormat="1" applyBorder="1"/>
    <xf numFmtId="0" fontId="2" fillId="0" borderId="0" xfId="0" applyFont="1" applyBorder="1" applyAlignment="1">
      <alignment horizontal="center"/>
    </xf>
    <xf numFmtId="3" fontId="0" fillId="0" borderId="0" xfId="0" applyNumberFormat="1" applyBorder="1"/>
    <xf numFmtId="0" fontId="0" fillId="0" borderId="0" xfId="0" applyBorder="1" applyAlignment="1">
      <alignment horizontal="left"/>
    </xf>
    <xf numFmtId="9" fontId="0" fillId="0" borderId="0" xfId="1" applyFont="1" applyBorder="1"/>
    <xf numFmtId="9" fontId="0" fillId="0" borderId="0" xfId="0" applyNumberFormat="1" applyBorder="1"/>
    <xf numFmtId="0" fontId="0" fillId="7" borderId="1" xfId="0" applyFill="1" applyBorder="1"/>
    <xf numFmtId="0" fontId="5" fillId="2" borderId="1" xfId="2" applyFont="1" applyFill="1" applyBorder="1" applyAlignment="1">
      <alignment vertical="center"/>
    </xf>
    <xf numFmtId="0" fontId="5" fillId="2" borderId="1" xfId="2" applyFont="1" applyFill="1" applyBorder="1" applyAlignment="1">
      <alignment horizontal="center" vertical="center"/>
    </xf>
    <xf numFmtId="0" fontId="6" fillId="5" borderId="1" xfId="2" applyFont="1" applyFill="1" applyBorder="1" applyAlignment="1">
      <alignment horizontal="center" wrapText="1"/>
    </xf>
    <xf numFmtId="0" fontId="6" fillId="5" borderId="1" xfId="2" applyFont="1" applyFill="1" applyBorder="1" applyAlignment="1">
      <alignment horizontal="left" wrapText="1"/>
    </xf>
    <xf numFmtId="0" fontId="6" fillId="6" borderId="1" xfId="2" applyFont="1" applyFill="1" applyBorder="1" applyAlignment="1">
      <alignment horizontal="center" wrapText="1"/>
    </xf>
    <xf numFmtId="0" fontId="6" fillId="6" borderId="1" xfId="2" applyFont="1" applyFill="1" applyBorder="1" applyAlignment="1">
      <alignment horizontal="left" wrapText="1"/>
    </xf>
    <xf numFmtId="0" fontId="6" fillId="7" borderId="1" xfId="2" applyFont="1" applyFill="1" applyBorder="1" applyAlignment="1">
      <alignment horizontal="center" wrapText="1"/>
    </xf>
    <xf numFmtId="164" fontId="6" fillId="7" borderId="1" xfId="2" applyNumberFormat="1" applyFont="1" applyFill="1" applyBorder="1" applyAlignment="1">
      <alignment horizontal="center" wrapText="1"/>
    </xf>
    <xf numFmtId="1" fontId="0" fillId="0" borderId="1" xfId="0" applyNumberFormat="1" applyBorder="1"/>
    <xf numFmtId="0" fontId="6" fillId="7" borderId="1" xfId="2" applyFont="1" applyFill="1" applyBorder="1" applyAlignment="1">
      <alignment horizontal="left" wrapText="1"/>
    </xf>
  </cellXfs>
  <cellStyles count="5">
    <cellStyle name="Normal" xfId="0" builtinId="0"/>
    <cellStyle name="Normal 2" xfId="2" xr:uid="{BDCC6B92-E28E-4FC5-B17D-F4D255E79412}"/>
    <cellStyle name="Normal 2 2" xfId="3" xr:uid="{9EFE6ADF-B3F1-43F9-94F5-A19DA9C10CB0}"/>
    <cellStyle name="Per cent" xfId="1" builtinId="5"/>
    <cellStyle name="Percent 2" xfId="4" xr:uid="{CFEEA9A8-E136-4B2F-8528-412C341785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sagarchaudhari/AppData/Local/Microsoft/Windows/INetCache/Content.Outlook/K1EVJVQ7/RTO%20Ranking%20Marking_Oct_%202021.xlsx" TargetMode="External"/><Relationship Id="rId1" Type="http://schemas.openxmlformats.org/officeDocument/2006/relationships/externalLinkPath" Target="/Users/sagarchaudhari/AppData/Local/Microsoft/Windows/INetCache/Content.Outlook/K1EVJVQ7/RTO%20Ranking%20Marking_Oct_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x manual challan table"/>
      <sheetName val="challan collect pendency_ graph"/>
      <sheetName val="max cash table"/>
      <sheetName val="Max Cash_ graph"/>
      <sheetName val="Final Ranking  - Aug 21"/>
      <sheetName val="Final Ranking Nov-21"/>
      <sheetName val="Final Ranking Oct"/>
      <sheetName val="Final Ranking-Sept"/>
      <sheetName val="max manual challan graph"/>
      <sheetName val="M-o-m graphs"/>
      <sheetName val="Online Revenue_Sept 2021"/>
      <sheetName val="Online Revenue_OCT2021"/>
      <sheetName val="sarathi pendency OCT 2021"/>
      <sheetName val="Sheet1"/>
      <sheetName val="vahan pendency_oct2021"/>
      <sheetName val="vahan pendency_sept 2021"/>
      <sheetName val="challan online"/>
      <sheetName val="Sheet2"/>
      <sheetName val="challan pendenc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3">
          <cell r="C3" t="str">
            <v>MH12</v>
          </cell>
        </row>
        <row r="4">
          <cell r="C4" t="str">
            <v>MH14</v>
          </cell>
        </row>
        <row r="5">
          <cell r="C5" t="str">
            <v>MH34</v>
          </cell>
        </row>
        <row r="6">
          <cell r="C6" t="str">
            <v>MH09</v>
          </cell>
        </row>
        <row r="7">
          <cell r="C7" t="str">
            <v>MH04</v>
          </cell>
        </row>
        <row r="8">
          <cell r="C8" t="str">
            <v>MH46</v>
          </cell>
        </row>
        <row r="9">
          <cell r="C9" t="str">
            <v>MH47</v>
          </cell>
        </row>
        <row r="10">
          <cell r="C10" t="str">
            <v>MH20</v>
          </cell>
        </row>
        <row r="11">
          <cell r="C11" t="str">
            <v>MH05</v>
          </cell>
        </row>
        <row r="12">
          <cell r="C12" t="str">
            <v>MH03</v>
          </cell>
        </row>
        <row r="13">
          <cell r="C13" t="str">
            <v>MH01</v>
          </cell>
        </row>
        <row r="14">
          <cell r="C14" t="str">
            <v>MH43</v>
          </cell>
        </row>
        <row r="15">
          <cell r="C15" t="str">
            <v>MH48</v>
          </cell>
        </row>
        <row r="16">
          <cell r="C16" t="str">
            <v>MH02</v>
          </cell>
        </row>
        <row r="17">
          <cell r="C17" t="str">
            <v>MH11</v>
          </cell>
        </row>
        <row r="18">
          <cell r="C18" t="str">
            <v>MH17</v>
          </cell>
        </row>
        <row r="19">
          <cell r="C19" t="str">
            <v>MH13</v>
          </cell>
        </row>
        <row r="20">
          <cell r="C20" t="str">
            <v>MH27</v>
          </cell>
        </row>
        <row r="21">
          <cell r="C21" t="str">
            <v>MH18</v>
          </cell>
        </row>
        <row r="22">
          <cell r="C22" t="str">
            <v>MH40</v>
          </cell>
        </row>
        <row r="23">
          <cell r="C23" t="str">
            <v>MH16</v>
          </cell>
        </row>
        <row r="24">
          <cell r="C24" t="str">
            <v>MH24</v>
          </cell>
        </row>
        <row r="25">
          <cell r="C25" t="str">
            <v>MH42</v>
          </cell>
        </row>
        <row r="26">
          <cell r="C26" t="str">
            <v>MH26</v>
          </cell>
        </row>
        <row r="27">
          <cell r="C27" t="str">
            <v>MH49</v>
          </cell>
        </row>
        <row r="28">
          <cell r="C28" t="str">
            <v>MH06</v>
          </cell>
        </row>
        <row r="29">
          <cell r="C29" t="str">
            <v>MH10</v>
          </cell>
        </row>
        <row r="30">
          <cell r="C30" t="str">
            <v>MH31</v>
          </cell>
        </row>
        <row r="31">
          <cell r="C31" t="str">
            <v>MH19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">
          <cell r="B2" t="str">
            <v>MH21</v>
          </cell>
          <cell r="C2" t="str">
            <v>MH21-DY.RTO,JALNA</v>
          </cell>
          <cell r="D2">
            <v>0</v>
          </cell>
          <cell r="E2">
            <v>2687660</v>
          </cell>
          <cell r="F2">
            <v>2687660</v>
          </cell>
          <cell r="G2">
            <v>0</v>
          </cell>
          <cell r="H2">
            <v>65976995</v>
          </cell>
          <cell r="I2">
            <v>244707</v>
          </cell>
          <cell r="J2" t="str">
            <v>66221702</v>
          </cell>
          <cell r="K2">
            <v>0</v>
          </cell>
          <cell r="L2">
            <v>68664655</v>
          </cell>
          <cell r="M2">
            <v>68909362</v>
          </cell>
          <cell r="N2">
            <v>0.99644885697824337</v>
          </cell>
          <cell r="O2">
            <v>100</v>
          </cell>
        </row>
        <row r="3">
          <cell r="B3" t="str">
            <v>MH42</v>
          </cell>
          <cell r="C3" t="str">
            <v>MH42-DY.RTO,BARAMATI</v>
          </cell>
          <cell r="D3">
            <v>0</v>
          </cell>
          <cell r="E3">
            <v>3043337</v>
          </cell>
          <cell r="F3">
            <v>3043337</v>
          </cell>
          <cell r="G3">
            <v>152052</v>
          </cell>
          <cell r="H3">
            <v>76464124</v>
          </cell>
          <cell r="I3">
            <v>207447</v>
          </cell>
          <cell r="J3" t="str">
            <v>76823623</v>
          </cell>
          <cell r="K3">
            <v>152052</v>
          </cell>
          <cell r="L3">
            <v>79507461</v>
          </cell>
          <cell r="M3">
            <v>79866960</v>
          </cell>
          <cell r="N3">
            <v>0.99549877696609457</v>
          </cell>
          <cell r="O3">
            <v>99.904653409405284</v>
          </cell>
        </row>
        <row r="4">
          <cell r="B4" t="str">
            <v>MH45</v>
          </cell>
          <cell r="C4" t="str">
            <v>MH45-DY.RTO,AKLUJ</v>
          </cell>
          <cell r="D4">
            <v>0</v>
          </cell>
          <cell r="E4">
            <v>2332037</v>
          </cell>
          <cell r="F4">
            <v>2332037</v>
          </cell>
          <cell r="G4">
            <v>0</v>
          </cell>
          <cell r="H4">
            <v>47029473</v>
          </cell>
          <cell r="I4">
            <v>263835</v>
          </cell>
          <cell r="J4" t="str">
            <v>47293308</v>
          </cell>
          <cell r="K4">
            <v>0</v>
          </cell>
          <cell r="L4">
            <v>49361510</v>
          </cell>
          <cell r="M4">
            <v>49625345</v>
          </cell>
          <cell r="N4">
            <v>0.99468346265401275</v>
          </cell>
          <cell r="O4">
            <v>99.822831416598319</v>
          </cell>
        </row>
        <row r="5">
          <cell r="B5" t="str">
            <v>MH44</v>
          </cell>
          <cell r="C5" t="str">
            <v>MH44-DY.RTO,AMBEJOGAI</v>
          </cell>
          <cell r="D5">
            <v>0</v>
          </cell>
          <cell r="E5">
            <v>2427949</v>
          </cell>
          <cell r="F5">
            <v>2427949</v>
          </cell>
          <cell r="G5">
            <v>336606</v>
          </cell>
          <cell r="H5">
            <v>38429436</v>
          </cell>
          <cell r="I5">
            <v>17970</v>
          </cell>
          <cell r="J5">
            <v>38784012</v>
          </cell>
          <cell r="K5">
            <v>336606</v>
          </cell>
          <cell r="L5">
            <v>40857385</v>
          </cell>
          <cell r="M5">
            <v>41211961</v>
          </cell>
          <cell r="N5">
            <v>0.99139628420011361</v>
          </cell>
          <cell r="O5">
            <v>99.49294208701771</v>
          </cell>
        </row>
        <row r="6">
          <cell r="B6" t="str">
            <v>MH18</v>
          </cell>
          <cell r="C6" t="str">
            <v>MH18-DY.RTO,DHULE</v>
          </cell>
          <cell r="D6">
            <v>0</v>
          </cell>
          <cell r="E6">
            <v>3569110</v>
          </cell>
          <cell r="F6">
            <v>3569110</v>
          </cell>
          <cell r="G6">
            <v>184338</v>
          </cell>
          <cell r="H6">
            <v>91425785</v>
          </cell>
          <cell r="I6">
            <v>681225</v>
          </cell>
          <cell r="J6" t="str">
            <v>92291348</v>
          </cell>
          <cell r="K6">
            <v>184338</v>
          </cell>
          <cell r="L6">
            <v>94994895</v>
          </cell>
          <cell r="M6">
            <v>95860458</v>
          </cell>
          <cell r="N6">
            <v>0.9909705939439597</v>
          </cell>
          <cell r="O6">
            <v>99.450221353969269</v>
          </cell>
        </row>
        <row r="7">
          <cell r="B7" t="str">
            <v>MH02</v>
          </cell>
          <cell r="C7" t="str">
            <v>MH02-RTO,MUMBAI (WEST</v>
          </cell>
          <cell r="D7">
            <v>0</v>
          </cell>
          <cell r="E7">
            <v>17374669</v>
          </cell>
          <cell r="F7">
            <v>17374669</v>
          </cell>
          <cell r="G7">
            <v>1340370</v>
          </cell>
          <cell r="H7">
            <v>435311633</v>
          </cell>
          <cell r="I7">
            <v>3868477</v>
          </cell>
          <cell r="J7">
            <v>440520480</v>
          </cell>
          <cell r="K7">
            <v>1340370</v>
          </cell>
          <cell r="L7">
            <v>452686302</v>
          </cell>
          <cell r="M7">
            <v>457895149</v>
          </cell>
          <cell r="N7">
            <v>0.98862436736581372</v>
          </cell>
          <cell r="O7">
            <v>99.214762548259856</v>
          </cell>
        </row>
        <row r="8">
          <cell r="B8" t="str">
            <v>MH14</v>
          </cell>
          <cell r="C8" t="str">
            <v>MH14-DY.RTO,PIMPRI-CHINCHWAD</v>
          </cell>
          <cell r="D8">
            <v>0</v>
          </cell>
          <cell r="E8">
            <v>14252192</v>
          </cell>
          <cell r="F8">
            <v>14252192</v>
          </cell>
          <cell r="G8">
            <v>1801291</v>
          </cell>
          <cell r="H8">
            <v>338392718</v>
          </cell>
          <cell r="I8">
            <v>2364260</v>
          </cell>
          <cell r="J8" t="str">
            <v>342558269</v>
          </cell>
          <cell r="K8">
            <v>1801291</v>
          </cell>
          <cell r="L8">
            <v>352644910</v>
          </cell>
          <cell r="M8">
            <v>356810461</v>
          </cell>
          <cell r="N8">
            <v>0.98832559172081003</v>
          </cell>
          <cell r="O8">
            <v>99.184778506137548</v>
          </cell>
        </row>
        <row r="9">
          <cell r="B9" t="str">
            <v>MH30</v>
          </cell>
          <cell r="C9" t="str">
            <v>MH30-DY.RTO,AKOLA</v>
          </cell>
          <cell r="D9">
            <v>0</v>
          </cell>
          <cell r="E9">
            <v>3496886</v>
          </cell>
          <cell r="F9">
            <v>3496886</v>
          </cell>
          <cell r="G9">
            <v>557049</v>
          </cell>
          <cell r="H9">
            <v>53780115</v>
          </cell>
          <cell r="I9">
            <v>150008</v>
          </cell>
          <cell r="J9" t="str">
            <v>54487172</v>
          </cell>
          <cell r="K9">
            <v>557049</v>
          </cell>
          <cell r="L9">
            <v>57277001</v>
          </cell>
          <cell r="M9">
            <v>57984058</v>
          </cell>
          <cell r="N9">
            <v>0.98780601040375615</v>
          </cell>
          <cell r="O9">
            <v>99.132635206116163</v>
          </cell>
        </row>
        <row r="10">
          <cell r="B10" t="str">
            <v>MH22</v>
          </cell>
          <cell r="C10" t="str">
            <v>MH22-DY.RTO,PARBHANI</v>
          </cell>
          <cell r="D10">
            <v>0</v>
          </cell>
          <cell r="E10">
            <v>3493387</v>
          </cell>
          <cell r="F10">
            <v>3493387</v>
          </cell>
          <cell r="G10">
            <v>493704</v>
          </cell>
          <cell r="H10">
            <v>45577133</v>
          </cell>
          <cell r="I10">
            <v>120333</v>
          </cell>
          <cell r="J10" t="str">
            <v>46191170</v>
          </cell>
          <cell r="K10">
            <v>493704</v>
          </cell>
          <cell r="L10">
            <v>49070520</v>
          </cell>
          <cell r="M10">
            <v>49684557</v>
          </cell>
          <cell r="N10">
            <v>0.9876412906328218</v>
          </cell>
          <cell r="O10">
            <v>99.116104526214144</v>
          </cell>
        </row>
        <row r="11">
          <cell r="B11" t="str">
            <v>MH03</v>
          </cell>
          <cell r="C11" t="str">
            <v>MH03-RTO,MUMBAI (EAST)</v>
          </cell>
          <cell r="D11">
            <v>0</v>
          </cell>
          <cell r="E11">
            <v>17362743</v>
          </cell>
          <cell r="F11">
            <v>17362743</v>
          </cell>
          <cell r="G11">
            <v>873890</v>
          </cell>
          <cell r="H11">
            <v>303664047</v>
          </cell>
          <cell r="I11">
            <v>3419326</v>
          </cell>
          <cell r="J11" t="str">
            <v>307957263</v>
          </cell>
          <cell r="K11">
            <v>873890</v>
          </cell>
          <cell r="L11">
            <v>321026790</v>
          </cell>
          <cell r="M11">
            <v>325320006</v>
          </cell>
          <cell r="N11">
            <v>0.98680309873103833</v>
          </cell>
          <cell r="O11">
            <v>99.031986621324847</v>
          </cell>
        </row>
        <row r="12">
          <cell r="B12" t="str">
            <v>MH28</v>
          </cell>
          <cell r="C12" t="str">
            <v>MH28-DY.RTO,BULDHANA</v>
          </cell>
          <cell r="D12">
            <v>0</v>
          </cell>
          <cell r="E12">
            <v>3125955</v>
          </cell>
          <cell r="F12">
            <v>3125955</v>
          </cell>
          <cell r="G12">
            <v>1040749</v>
          </cell>
          <cell r="H12">
            <v>62301106</v>
          </cell>
          <cell r="I12">
            <v>0</v>
          </cell>
          <cell r="J12" t="str">
            <v>63341855</v>
          </cell>
          <cell r="K12">
            <v>1040749</v>
          </cell>
          <cell r="L12">
            <v>65427061</v>
          </cell>
          <cell r="M12">
            <v>66467810</v>
          </cell>
          <cell r="N12">
            <v>0.98434205971281441</v>
          </cell>
          <cell r="O12">
            <v>98.78500565476655</v>
          </cell>
        </row>
        <row r="13">
          <cell r="B13" t="str">
            <v>MH13</v>
          </cell>
          <cell r="C13" t="str">
            <v>MH13-DY.RTO,SOLAPUR</v>
          </cell>
          <cell r="D13">
            <v>0</v>
          </cell>
          <cell r="E13">
            <v>7024077</v>
          </cell>
          <cell r="F13">
            <v>7024077</v>
          </cell>
          <cell r="G13">
            <v>879885</v>
          </cell>
          <cell r="H13">
            <v>112080596</v>
          </cell>
          <cell r="I13">
            <v>1154867</v>
          </cell>
          <cell r="J13" t="str">
            <v>114115348</v>
          </cell>
          <cell r="K13">
            <v>879885</v>
          </cell>
          <cell r="L13">
            <v>119104673</v>
          </cell>
          <cell r="M13">
            <v>121139425</v>
          </cell>
          <cell r="N13">
            <v>0.98320322223751677</v>
          </cell>
          <cell r="O13">
            <v>98.670716048499031</v>
          </cell>
        </row>
        <row r="14">
          <cell r="B14" t="str">
            <v>MH47</v>
          </cell>
          <cell r="C14" t="str">
            <v>MH47-DY.RTO,BORIVALI</v>
          </cell>
          <cell r="D14">
            <v>0</v>
          </cell>
          <cell r="E14">
            <v>14804289</v>
          </cell>
          <cell r="F14">
            <v>14804289</v>
          </cell>
          <cell r="G14">
            <v>594453</v>
          </cell>
          <cell r="H14">
            <v>65445520</v>
          </cell>
          <cell r="I14">
            <v>808181</v>
          </cell>
          <cell r="J14" t="str">
            <v>66848154</v>
          </cell>
          <cell r="K14">
            <v>594453</v>
          </cell>
          <cell r="L14">
            <v>80249809</v>
          </cell>
          <cell r="M14">
            <v>81652443</v>
          </cell>
          <cell r="N14">
            <v>0.98282189793145569</v>
          </cell>
          <cell r="O14">
            <v>98.632447721590879</v>
          </cell>
        </row>
        <row r="15">
          <cell r="B15" t="str">
            <v>MH08</v>
          </cell>
          <cell r="C15" t="str">
            <v>MH08-DY.RTO,RATNAGIRI</v>
          </cell>
          <cell r="D15">
            <v>0</v>
          </cell>
          <cell r="E15">
            <v>4533272</v>
          </cell>
          <cell r="F15">
            <v>4533272</v>
          </cell>
          <cell r="G15">
            <v>205377</v>
          </cell>
          <cell r="H15">
            <v>621780688</v>
          </cell>
          <cell r="I15">
            <v>11166892</v>
          </cell>
          <cell r="J15" t="str">
            <v>633152957</v>
          </cell>
          <cell r="K15">
            <v>205377</v>
          </cell>
          <cell r="L15">
            <v>626313960</v>
          </cell>
          <cell r="M15">
            <v>637686229</v>
          </cell>
          <cell r="N15">
            <v>0.98216635630060001</v>
          </cell>
          <cell r="O15">
            <v>98.566659936671968</v>
          </cell>
        </row>
        <row r="16">
          <cell r="B16" t="str">
            <v>MH38</v>
          </cell>
          <cell r="C16" t="str">
            <v>MH38-DY. RTO,HINGOLI</v>
          </cell>
          <cell r="D16">
            <v>0</v>
          </cell>
          <cell r="E16">
            <v>1692133</v>
          </cell>
          <cell r="F16">
            <v>1692133</v>
          </cell>
          <cell r="G16">
            <v>513866</v>
          </cell>
          <cell r="H16">
            <v>27263140</v>
          </cell>
          <cell r="I16">
            <v>25566</v>
          </cell>
          <cell r="J16">
            <v>27802572</v>
          </cell>
          <cell r="K16">
            <v>513866</v>
          </cell>
          <cell r="L16">
            <v>28955273</v>
          </cell>
          <cell r="M16">
            <v>29494705</v>
          </cell>
          <cell r="N16">
            <v>0.98171088675068963</v>
          </cell>
          <cell r="O16">
            <v>98.520950661507399</v>
          </cell>
        </row>
        <row r="17">
          <cell r="B17" t="str">
            <v>MH12</v>
          </cell>
          <cell r="C17" t="str">
            <v>MH12-RTO,PUNE</v>
          </cell>
          <cell r="D17">
            <v>0</v>
          </cell>
          <cell r="E17">
            <v>25474457</v>
          </cell>
          <cell r="F17">
            <v>25474457</v>
          </cell>
          <cell r="G17">
            <v>0</v>
          </cell>
          <cell r="H17">
            <v>1088228781</v>
          </cell>
          <cell r="I17">
            <v>21046361</v>
          </cell>
          <cell r="J17">
            <v>1109275142</v>
          </cell>
          <cell r="K17">
            <v>0</v>
          </cell>
          <cell r="L17">
            <v>1113703238</v>
          </cell>
          <cell r="M17">
            <v>1134749599</v>
          </cell>
          <cell r="N17">
            <v>0.98145285883462996</v>
          </cell>
          <cell r="O17">
            <v>98.495055913949344</v>
          </cell>
        </row>
        <row r="18">
          <cell r="B18" t="str">
            <v>MH29</v>
          </cell>
          <cell r="C18" t="str">
            <v>MH29-DY.RTO,YAWATMAL</v>
          </cell>
          <cell r="D18">
            <v>0</v>
          </cell>
          <cell r="E18">
            <v>4335583</v>
          </cell>
          <cell r="F18">
            <v>4335583</v>
          </cell>
          <cell r="G18">
            <v>1834602</v>
          </cell>
          <cell r="H18">
            <v>81708446</v>
          </cell>
          <cell r="I18">
            <v>0</v>
          </cell>
          <cell r="J18">
            <v>83543048</v>
          </cell>
          <cell r="K18">
            <v>1834602</v>
          </cell>
          <cell r="L18">
            <v>86044029</v>
          </cell>
          <cell r="M18">
            <v>87878631</v>
          </cell>
          <cell r="N18">
            <v>0.97912345721453031</v>
          </cell>
          <cell r="O18">
            <v>98.261285600120743</v>
          </cell>
        </row>
        <row r="19">
          <cell r="B19" t="str">
            <v>MH01</v>
          </cell>
          <cell r="C19" t="str">
            <v>MH01-RTO,MUMBAI CENTRAL</v>
          </cell>
          <cell r="D19">
            <v>0</v>
          </cell>
          <cell r="E19">
            <v>17545742</v>
          </cell>
          <cell r="F19">
            <v>17545742</v>
          </cell>
          <cell r="G19">
            <v>319245</v>
          </cell>
          <cell r="H19">
            <v>442480665</v>
          </cell>
          <cell r="I19">
            <v>9523113</v>
          </cell>
          <cell r="J19">
            <v>452323023</v>
          </cell>
          <cell r="K19">
            <v>319245</v>
          </cell>
          <cell r="L19">
            <v>460026407</v>
          </cell>
          <cell r="M19">
            <v>469868765</v>
          </cell>
          <cell r="N19">
            <v>0.97905296386321827</v>
          </cell>
          <cell r="O19">
            <v>98.254211142578995</v>
          </cell>
        </row>
        <row r="20">
          <cell r="B20" t="str">
            <v>MH17</v>
          </cell>
          <cell r="C20" t="str">
            <v>MH17-DY.RTO,SHRIRAMPUR</v>
          </cell>
          <cell r="D20">
            <v>0</v>
          </cell>
          <cell r="E20">
            <v>3462704</v>
          </cell>
          <cell r="F20">
            <v>3462704</v>
          </cell>
          <cell r="G20">
            <v>1553793</v>
          </cell>
          <cell r="H20">
            <v>70419482</v>
          </cell>
          <cell r="I20">
            <v>93500</v>
          </cell>
          <cell r="J20" t="str">
            <v>72066775</v>
          </cell>
          <cell r="K20">
            <v>1553793</v>
          </cell>
          <cell r="L20">
            <v>73882186</v>
          </cell>
          <cell r="M20">
            <v>75529479</v>
          </cell>
          <cell r="N20">
            <v>0.97819006536507425</v>
          </cell>
          <cell r="O20">
            <v>98.167613773120337</v>
          </cell>
        </row>
        <row r="21">
          <cell r="B21" t="str">
            <v>MH16</v>
          </cell>
          <cell r="C21" t="str">
            <v>MH16-DY.RTO,AHMEDNAGAR</v>
          </cell>
          <cell r="D21">
            <v>0</v>
          </cell>
          <cell r="E21">
            <v>4168525</v>
          </cell>
          <cell r="F21">
            <v>4168525</v>
          </cell>
          <cell r="G21">
            <v>2722896</v>
          </cell>
          <cell r="H21">
            <v>112118082</v>
          </cell>
          <cell r="I21">
            <v>15360</v>
          </cell>
          <cell r="J21" t="str">
            <v>114856338</v>
          </cell>
          <cell r="K21">
            <v>2722896</v>
          </cell>
          <cell r="L21">
            <v>116286607</v>
          </cell>
          <cell r="M21">
            <v>119024863</v>
          </cell>
          <cell r="N21">
            <v>0.97699425203287149</v>
          </cell>
          <cell r="O21">
            <v>98.047606276114522</v>
          </cell>
        </row>
        <row r="22">
          <cell r="B22" t="str">
            <v>MH33</v>
          </cell>
          <cell r="C22" t="str">
            <v>MH33-DY. RTO,GADCHIROLI</v>
          </cell>
          <cell r="D22">
            <v>0</v>
          </cell>
          <cell r="E22">
            <v>1577227</v>
          </cell>
          <cell r="F22">
            <v>1577227</v>
          </cell>
          <cell r="G22">
            <v>694899</v>
          </cell>
          <cell r="H22">
            <v>26754100</v>
          </cell>
          <cell r="I22">
            <v>0</v>
          </cell>
          <cell r="J22" t="str">
            <v>27448999</v>
          </cell>
          <cell r="K22">
            <v>694899</v>
          </cell>
          <cell r="L22">
            <v>28331327</v>
          </cell>
          <cell r="M22">
            <v>29026226</v>
          </cell>
          <cell r="N22">
            <v>0.97605961587979095</v>
          </cell>
          <cell r="O22">
            <v>97.953809575306934</v>
          </cell>
        </row>
        <row r="23">
          <cell r="B23" t="str">
            <v>MH09</v>
          </cell>
          <cell r="C23" t="str">
            <v>MH09-RTO,KOLHAPUR</v>
          </cell>
          <cell r="D23">
            <v>0</v>
          </cell>
          <cell r="E23">
            <v>12939995</v>
          </cell>
          <cell r="F23">
            <v>12939995</v>
          </cell>
          <cell r="G23">
            <v>5418400</v>
          </cell>
          <cell r="H23">
            <v>221586926</v>
          </cell>
          <cell r="I23">
            <v>438749</v>
          </cell>
          <cell r="J23">
            <v>227444075</v>
          </cell>
          <cell r="K23">
            <v>5418400</v>
          </cell>
          <cell r="L23">
            <v>234526921</v>
          </cell>
          <cell r="M23">
            <v>240384070</v>
          </cell>
          <cell r="N23">
            <v>0.97563420487888408</v>
          </cell>
          <cell r="O23">
            <v>97.911116867304145</v>
          </cell>
        </row>
        <row r="24">
          <cell r="B24" t="str">
            <v>MH27</v>
          </cell>
          <cell r="C24" t="str">
            <v>MH27-RTO,AMRAVATI</v>
          </cell>
          <cell r="D24">
            <v>0</v>
          </cell>
          <cell r="E24">
            <v>5388912</v>
          </cell>
          <cell r="F24">
            <v>5388912</v>
          </cell>
          <cell r="G24">
            <v>2402636</v>
          </cell>
          <cell r="H24">
            <v>99017429</v>
          </cell>
          <cell r="I24">
            <v>502039</v>
          </cell>
          <cell r="J24" t="str">
            <v>101922104</v>
          </cell>
          <cell r="K24">
            <v>2402636</v>
          </cell>
          <cell r="L24">
            <v>104406341</v>
          </cell>
          <cell r="M24">
            <v>107311016</v>
          </cell>
          <cell r="N24">
            <v>0.97293218247043711</v>
          </cell>
          <cell r="O24">
            <v>97.639951680097141</v>
          </cell>
        </row>
        <row r="25">
          <cell r="B25" t="str">
            <v>MH10</v>
          </cell>
          <cell r="C25" t="str">
            <v>MH10-DY.RTO,SANGLI</v>
          </cell>
          <cell r="D25">
            <v>0</v>
          </cell>
          <cell r="E25">
            <v>6461418</v>
          </cell>
          <cell r="F25">
            <v>6461418</v>
          </cell>
          <cell r="G25">
            <v>3665761</v>
          </cell>
          <cell r="H25">
            <v>138418330</v>
          </cell>
          <cell r="I25">
            <v>964909</v>
          </cell>
          <cell r="J25">
            <v>143049000</v>
          </cell>
          <cell r="K25">
            <v>3665761</v>
          </cell>
          <cell r="L25">
            <v>144879748</v>
          </cell>
          <cell r="M25">
            <v>149510418</v>
          </cell>
          <cell r="N25">
            <v>0.96902777704761689</v>
          </cell>
          <cell r="O25">
            <v>97.248119686364873</v>
          </cell>
        </row>
        <row r="26">
          <cell r="B26" t="str">
            <v>MH48</v>
          </cell>
          <cell r="C26" t="str">
            <v>MH48-DY. RTO VASAI-VIRAR</v>
          </cell>
          <cell r="D26">
            <v>0</v>
          </cell>
          <cell r="E26">
            <v>8019940</v>
          </cell>
          <cell r="F26">
            <v>8019940</v>
          </cell>
          <cell r="G26">
            <v>2666634</v>
          </cell>
          <cell r="H26">
            <v>191511973</v>
          </cell>
          <cell r="I26">
            <v>4136781</v>
          </cell>
          <cell r="J26" t="str">
            <v>198315388</v>
          </cell>
          <cell r="K26">
            <v>2666634</v>
          </cell>
          <cell r="L26">
            <v>199531913</v>
          </cell>
          <cell r="M26">
            <v>206335328</v>
          </cell>
          <cell r="N26">
            <v>0.9670273866043918</v>
          </cell>
          <cell r="O26">
            <v>97.047367743180217</v>
          </cell>
        </row>
        <row r="27">
          <cell r="B27" t="str">
            <v>MH05</v>
          </cell>
          <cell r="C27" t="str">
            <v>MH05-DY.RTO,KALYAN</v>
          </cell>
          <cell r="D27">
            <v>0</v>
          </cell>
          <cell r="E27">
            <v>10748728</v>
          </cell>
          <cell r="F27">
            <v>10748728</v>
          </cell>
          <cell r="G27">
            <v>2916274</v>
          </cell>
          <cell r="H27">
            <v>220418989</v>
          </cell>
          <cell r="I27">
            <v>5464177</v>
          </cell>
          <cell r="J27" t="str">
            <v>228799440</v>
          </cell>
          <cell r="K27">
            <v>2916274</v>
          </cell>
          <cell r="L27">
            <v>231167717</v>
          </cell>
          <cell r="M27">
            <v>239548168</v>
          </cell>
          <cell r="N27">
            <v>0.96501559135280046</v>
          </cell>
          <cell r="O27">
            <v>96.845471254714951</v>
          </cell>
        </row>
        <row r="28">
          <cell r="B28" t="str">
            <v>MH19</v>
          </cell>
          <cell r="C28" t="str">
            <v>MH19-DY.RTO,JALGAON</v>
          </cell>
          <cell r="D28">
            <v>0</v>
          </cell>
          <cell r="E28">
            <v>7058580</v>
          </cell>
          <cell r="F28">
            <v>7058580</v>
          </cell>
          <cell r="G28">
            <v>3165167</v>
          </cell>
          <cell r="H28">
            <v>118435691</v>
          </cell>
          <cell r="I28">
            <v>1449151</v>
          </cell>
          <cell r="J28">
            <v>123050009</v>
          </cell>
          <cell r="K28">
            <v>3165167</v>
          </cell>
          <cell r="L28">
            <v>125494271</v>
          </cell>
          <cell r="M28">
            <v>130108589</v>
          </cell>
          <cell r="N28">
            <v>0.96453487017678752</v>
          </cell>
          <cell r="O28">
            <v>96.797227817769198</v>
          </cell>
        </row>
        <row r="29">
          <cell r="B29" t="str">
            <v>MH15</v>
          </cell>
          <cell r="C29" t="str">
            <v>MH15-RTO,NASHIK</v>
          </cell>
          <cell r="D29">
            <v>0</v>
          </cell>
          <cell r="E29">
            <v>10671324</v>
          </cell>
          <cell r="F29">
            <v>10671324</v>
          </cell>
          <cell r="G29">
            <v>5876586</v>
          </cell>
          <cell r="H29">
            <v>283940058</v>
          </cell>
          <cell r="I29">
            <v>5037016</v>
          </cell>
          <cell r="J29" t="str">
            <v>294853660</v>
          </cell>
          <cell r="K29">
            <v>5876586</v>
          </cell>
          <cell r="L29">
            <v>294611382</v>
          </cell>
          <cell r="M29">
            <v>305524984</v>
          </cell>
          <cell r="N29">
            <v>0.96427918313875105</v>
          </cell>
          <cell r="O29">
            <v>96.771567992255243</v>
          </cell>
        </row>
        <row r="30">
          <cell r="B30" t="str">
            <v>MH11</v>
          </cell>
          <cell r="C30" t="str">
            <v>MH11-DY.RTO,SATARA</v>
          </cell>
          <cell r="D30">
            <v>0</v>
          </cell>
          <cell r="E30">
            <v>6109476</v>
          </cell>
          <cell r="F30">
            <v>6109476</v>
          </cell>
          <cell r="G30">
            <v>3412330</v>
          </cell>
          <cell r="H30">
            <v>112383470</v>
          </cell>
          <cell r="I30">
            <v>1066909</v>
          </cell>
          <cell r="J30" t="str">
            <v>116862709</v>
          </cell>
          <cell r="K30">
            <v>3412330</v>
          </cell>
          <cell r="L30">
            <v>118492946</v>
          </cell>
          <cell r="M30">
            <v>122972185</v>
          </cell>
          <cell r="N30">
            <v>0.96357518572187684</v>
          </cell>
          <cell r="O30">
            <v>96.700917360068345</v>
          </cell>
        </row>
        <row r="31">
          <cell r="B31" t="str">
            <v>MH24</v>
          </cell>
          <cell r="C31" t="str">
            <v>MH24-RTO,LATUR</v>
          </cell>
          <cell r="D31">
            <v>0</v>
          </cell>
          <cell r="E31">
            <v>4199983</v>
          </cell>
          <cell r="F31">
            <v>4199983</v>
          </cell>
          <cell r="G31">
            <v>2454056</v>
          </cell>
          <cell r="H31">
            <v>86512876</v>
          </cell>
          <cell r="I31">
            <v>1146817</v>
          </cell>
          <cell r="J31">
            <v>90113749</v>
          </cell>
          <cell r="K31">
            <v>2454056</v>
          </cell>
          <cell r="L31">
            <v>90712859</v>
          </cell>
          <cell r="M31">
            <v>94313732</v>
          </cell>
          <cell r="N31">
            <v>0.96182026812384014</v>
          </cell>
          <cell r="O31">
            <v>96.524800182980258</v>
          </cell>
        </row>
        <row r="32">
          <cell r="B32" t="str">
            <v>MH25</v>
          </cell>
          <cell r="C32" t="str">
            <v>MH25-DY.RTO,OSMANABAD</v>
          </cell>
          <cell r="D32">
            <v>0</v>
          </cell>
          <cell r="E32">
            <v>2802964</v>
          </cell>
          <cell r="F32">
            <v>2802964</v>
          </cell>
          <cell r="G32">
            <v>1557179</v>
          </cell>
          <cell r="H32">
            <v>43995785</v>
          </cell>
          <cell r="I32">
            <v>304826</v>
          </cell>
          <cell r="J32" t="str">
            <v>45857790</v>
          </cell>
          <cell r="K32">
            <v>1557179</v>
          </cell>
          <cell r="L32">
            <v>46798749</v>
          </cell>
          <cell r="M32">
            <v>48660754</v>
          </cell>
          <cell r="N32">
            <v>0.9617349743491439</v>
          </cell>
          <cell r="O32">
            <v>96.516240408527324</v>
          </cell>
        </row>
        <row r="33">
          <cell r="B33" t="str">
            <v>MH39</v>
          </cell>
          <cell r="C33" t="str">
            <v>MH39-DY. RTO,NANDURBAR</v>
          </cell>
          <cell r="D33">
            <v>0</v>
          </cell>
          <cell r="E33">
            <v>1988574</v>
          </cell>
          <cell r="F33">
            <v>1988574</v>
          </cell>
          <cell r="G33">
            <v>848188</v>
          </cell>
          <cell r="H33">
            <v>19143443</v>
          </cell>
          <cell r="I33">
            <v>0</v>
          </cell>
          <cell r="J33" t="str">
            <v>19991631</v>
          </cell>
          <cell r="K33">
            <v>848188</v>
          </cell>
          <cell r="L33">
            <v>21132017</v>
          </cell>
          <cell r="M33">
            <v>21980205</v>
          </cell>
          <cell r="N33">
            <v>0.96141127892119294</v>
          </cell>
          <cell r="O33">
            <v>96.483755507201565</v>
          </cell>
        </row>
        <row r="34">
          <cell r="B34" t="str">
            <v>MH23</v>
          </cell>
          <cell r="C34" t="str">
            <v>MH23-DY.RTO,BEED</v>
          </cell>
          <cell r="D34">
            <v>0</v>
          </cell>
          <cell r="E34">
            <v>3051535</v>
          </cell>
          <cell r="F34">
            <v>3051535</v>
          </cell>
          <cell r="G34">
            <v>35000</v>
          </cell>
          <cell r="H34">
            <v>48937248</v>
          </cell>
          <cell r="I34">
            <v>2102117</v>
          </cell>
          <cell r="J34" t="str">
            <v>51074365</v>
          </cell>
          <cell r="K34">
            <v>35000</v>
          </cell>
          <cell r="L34">
            <v>51988783</v>
          </cell>
          <cell r="M34">
            <v>54125900</v>
          </cell>
          <cell r="N34">
            <v>0.96051581590329216</v>
          </cell>
          <cell r="O34">
            <v>96.393890080428307</v>
          </cell>
        </row>
        <row r="35">
          <cell r="B35" t="str">
            <v>MH20</v>
          </cell>
          <cell r="C35" t="str">
            <v>MH20-RTO,AURANGABAD</v>
          </cell>
          <cell r="D35">
            <v>0</v>
          </cell>
          <cell r="E35">
            <v>6769334</v>
          </cell>
          <cell r="F35">
            <v>6769334</v>
          </cell>
          <cell r="G35">
            <v>9167835</v>
          </cell>
          <cell r="H35">
            <v>223602648</v>
          </cell>
          <cell r="I35">
            <v>375240</v>
          </cell>
          <cell r="J35" t="str">
            <v>233145723</v>
          </cell>
          <cell r="K35">
            <v>9167835</v>
          </cell>
          <cell r="L35">
            <v>230371982</v>
          </cell>
          <cell r="M35">
            <v>239915057</v>
          </cell>
          <cell r="N35">
            <v>0.9602231092982213</v>
          </cell>
          <cell r="O35">
            <v>96.364515105182861</v>
          </cell>
        </row>
        <row r="36">
          <cell r="B36" t="str">
            <v>MH49</v>
          </cell>
          <cell r="C36" t="str">
            <v>MH49-DY.RTO, NAGPUR (EAST)</v>
          </cell>
          <cell r="D36">
            <v>0</v>
          </cell>
          <cell r="E36">
            <v>7125405</v>
          </cell>
          <cell r="F36">
            <v>7125405</v>
          </cell>
          <cell r="G36">
            <v>4973265</v>
          </cell>
          <cell r="H36">
            <v>158062216</v>
          </cell>
          <cell r="I36">
            <v>2051085</v>
          </cell>
          <cell r="J36" t="str">
            <v>165086566</v>
          </cell>
          <cell r="K36">
            <v>4973265</v>
          </cell>
          <cell r="L36">
            <v>165187621</v>
          </cell>
          <cell r="M36">
            <v>172211971</v>
          </cell>
          <cell r="N36">
            <v>0.95921102372145783</v>
          </cell>
          <cell r="O36">
            <v>96.262945860592367</v>
          </cell>
        </row>
        <row r="37">
          <cell r="B37" t="str">
            <v>MH50</v>
          </cell>
          <cell r="C37" t="str">
            <v>MH50-DY.RTO, KARAD</v>
          </cell>
          <cell r="D37">
            <v>0</v>
          </cell>
          <cell r="E37">
            <v>3243125</v>
          </cell>
          <cell r="F37">
            <v>3243125</v>
          </cell>
          <cell r="G37">
            <v>1001477</v>
          </cell>
          <cell r="H37">
            <v>34398836</v>
          </cell>
          <cell r="I37">
            <v>662716</v>
          </cell>
          <cell r="J37">
            <v>36063029</v>
          </cell>
          <cell r="K37">
            <v>1001477</v>
          </cell>
          <cell r="L37">
            <v>37641961</v>
          </cell>
          <cell r="M37">
            <v>39306154</v>
          </cell>
          <cell r="N37">
            <v>0.95766075205424572</v>
          </cell>
          <cell r="O37">
            <v>96.107366208274499</v>
          </cell>
        </row>
        <row r="38">
          <cell r="B38" t="str">
            <v>MH43</v>
          </cell>
          <cell r="C38" t="str">
            <v>MH43-DY.RTO,VASHI</v>
          </cell>
          <cell r="D38">
            <v>0</v>
          </cell>
          <cell r="E38">
            <v>5580909</v>
          </cell>
          <cell r="F38">
            <v>5580909</v>
          </cell>
          <cell r="G38">
            <v>6418285</v>
          </cell>
          <cell r="H38">
            <v>234104796</v>
          </cell>
          <cell r="I38">
            <v>5196972</v>
          </cell>
          <cell r="J38">
            <v>245720053</v>
          </cell>
          <cell r="K38">
            <v>6418285</v>
          </cell>
          <cell r="L38">
            <v>239685705</v>
          </cell>
          <cell r="M38">
            <v>251300962</v>
          </cell>
          <cell r="N38">
            <v>0.9537794964748284</v>
          </cell>
          <cell r="O38">
            <v>95.717857449020428</v>
          </cell>
        </row>
        <row r="39">
          <cell r="B39" t="str">
            <v>MH46</v>
          </cell>
          <cell r="C39" t="str">
            <v>MH46-RTO, PANVEL</v>
          </cell>
          <cell r="D39">
            <v>0</v>
          </cell>
          <cell r="E39">
            <v>6724470</v>
          </cell>
          <cell r="F39">
            <v>6724470</v>
          </cell>
          <cell r="G39">
            <v>9452798</v>
          </cell>
          <cell r="H39">
            <v>327345054</v>
          </cell>
          <cell r="I39">
            <v>6946209</v>
          </cell>
          <cell r="J39">
            <v>343744061</v>
          </cell>
          <cell r="K39">
            <v>9452798</v>
          </cell>
          <cell r="L39">
            <v>334069524</v>
          </cell>
          <cell r="M39">
            <v>350468531</v>
          </cell>
          <cell r="N39">
            <v>0.9532083324194377</v>
          </cell>
          <cell r="O39">
            <v>95.660537492116376</v>
          </cell>
        </row>
        <row r="40">
          <cell r="B40" t="str">
            <v>MH31</v>
          </cell>
          <cell r="C40" t="str">
            <v>MH31-RTO,NAGPUR_CITY</v>
          </cell>
          <cell r="D40">
            <v>0</v>
          </cell>
          <cell r="E40">
            <v>5842690</v>
          </cell>
          <cell r="F40">
            <v>5842690</v>
          </cell>
          <cell r="G40">
            <v>4459297</v>
          </cell>
          <cell r="H40">
            <v>104452139</v>
          </cell>
          <cell r="I40">
            <v>1461334</v>
          </cell>
          <cell r="J40">
            <v>110372770</v>
          </cell>
          <cell r="K40">
            <v>4459297</v>
          </cell>
          <cell r="L40">
            <v>110294829</v>
          </cell>
          <cell r="M40">
            <v>116215460</v>
          </cell>
          <cell r="N40">
            <v>0.94905470408153958</v>
          </cell>
          <cell r="O40">
            <v>95.243694388849249</v>
          </cell>
        </row>
        <row r="41">
          <cell r="B41" t="str">
            <v>MH41</v>
          </cell>
          <cell r="C41" t="str">
            <v>MH41-DY.RTO,MALEGAON</v>
          </cell>
          <cell r="D41">
            <v>0</v>
          </cell>
          <cell r="E41">
            <v>2110450</v>
          </cell>
          <cell r="F41">
            <v>2110450</v>
          </cell>
          <cell r="G41">
            <v>2407603</v>
          </cell>
          <cell r="H41">
            <v>52928197</v>
          </cell>
          <cell r="I41">
            <v>597819</v>
          </cell>
          <cell r="J41" t="str">
            <v>55933619</v>
          </cell>
          <cell r="K41">
            <v>2407603</v>
          </cell>
          <cell r="L41">
            <v>55038647</v>
          </cell>
          <cell r="M41">
            <v>58044069</v>
          </cell>
          <cell r="N41">
            <v>0.94822172098237978</v>
          </cell>
          <cell r="O41">
            <v>95.160099220534647</v>
          </cell>
        </row>
        <row r="42">
          <cell r="B42" t="str">
            <v>MH04</v>
          </cell>
          <cell r="C42" t="str">
            <v>MH04-RTO,THANE</v>
          </cell>
          <cell r="D42">
            <v>0</v>
          </cell>
          <cell r="E42">
            <v>16359383</v>
          </cell>
          <cell r="F42">
            <v>16359383</v>
          </cell>
          <cell r="G42">
            <v>20547179</v>
          </cell>
          <cell r="H42">
            <v>474442985</v>
          </cell>
          <cell r="I42">
            <v>8867940</v>
          </cell>
          <cell r="J42" t="str">
            <v>503858104</v>
          </cell>
          <cell r="K42">
            <v>20547179</v>
          </cell>
          <cell r="L42">
            <v>490802368</v>
          </cell>
          <cell r="M42">
            <v>520217487</v>
          </cell>
          <cell r="N42">
            <v>0.94345611261622198</v>
          </cell>
          <cell r="O42">
            <v>94.681840017085946</v>
          </cell>
        </row>
        <row r="43">
          <cell r="B43" t="str">
            <v>MH06</v>
          </cell>
          <cell r="C43" t="str">
            <v>MH06-DY.RTO,PEN(RAIGAD)</v>
          </cell>
          <cell r="D43">
            <v>250</v>
          </cell>
          <cell r="E43">
            <v>3517260</v>
          </cell>
          <cell r="F43">
            <v>3517510</v>
          </cell>
          <cell r="G43">
            <v>4789132</v>
          </cell>
          <cell r="H43">
            <v>75464977</v>
          </cell>
          <cell r="I43">
            <v>320000</v>
          </cell>
          <cell r="J43">
            <v>80574109</v>
          </cell>
          <cell r="K43">
            <v>4789382</v>
          </cell>
          <cell r="L43">
            <v>78982237</v>
          </cell>
          <cell r="M43">
            <v>84091619</v>
          </cell>
          <cell r="N43">
            <v>0.93924029456490787</v>
          </cell>
          <cell r="O43">
            <v>94.258755779315976</v>
          </cell>
        </row>
        <row r="44">
          <cell r="B44" t="str">
            <v>MH07</v>
          </cell>
          <cell r="C44" t="str">
            <v>MH07-DY.RTO,SINDHUDURG</v>
          </cell>
          <cell r="D44">
            <v>0</v>
          </cell>
          <cell r="E44">
            <v>2383549</v>
          </cell>
          <cell r="F44">
            <v>2383549</v>
          </cell>
          <cell r="G44">
            <v>2222771</v>
          </cell>
          <cell r="H44">
            <v>34731334</v>
          </cell>
          <cell r="I44">
            <v>379744</v>
          </cell>
          <cell r="J44" t="str">
            <v>37333849</v>
          </cell>
          <cell r="K44">
            <v>2222771</v>
          </cell>
          <cell r="L44">
            <v>37114883</v>
          </cell>
          <cell r="M44">
            <v>39717398</v>
          </cell>
          <cell r="N44">
            <v>0.93447418181825503</v>
          </cell>
          <cell r="O44">
            <v>93.780445958066721</v>
          </cell>
        </row>
        <row r="45">
          <cell r="B45" t="str">
            <v>MH40</v>
          </cell>
          <cell r="C45" t="str">
            <v>MH40-RTO,NAGPUR_RURAL</v>
          </cell>
          <cell r="D45">
            <v>0</v>
          </cell>
          <cell r="E45">
            <v>4425536</v>
          </cell>
          <cell r="F45">
            <v>4425536</v>
          </cell>
          <cell r="G45">
            <v>10808060</v>
          </cell>
          <cell r="H45">
            <v>148209104</v>
          </cell>
          <cell r="I45">
            <v>585725</v>
          </cell>
          <cell r="J45">
            <v>159602889</v>
          </cell>
          <cell r="K45">
            <v>10808060</v>
          </cell>
          <cell r="L45">
            <v>152634640</v>
          </cell>
          <cell r="M45">
            <v>164028425</v>
          </cell>
          <cell r="N45">
            <v>0.93053774063855088</v>
          </cell>
          <cell r="O45">
            <v>93.385398971747563</v>
          </cell>
        </row>
        <row r="46">
          <cell r="B46" t="str">
            <v>MH37</v>
          </cell>
          <cell r="C46" t="str">
            <v>MH37-DY. RTO,VASHIM</v>
          </cell>
          <cell r="D46">
            <v>0</v>
          </cell>
          <cell r="E46">
            <v>1552895</v>
          </cell>
          <cell r="F46">
            <v>1552895</v>
          </cell>
          <cell r="G46">
            <v>2438378</v>
          </cell>
          <cell r="H46">
            <v>30193181</v>
          </cell>
          <cell r="I46">
            <v>0</v>
          </cell>
          <cell r="J46" t="str">
            <v>32631559</v>
          </cell>
          <cell r="K46">
            <v>2438378</v>
          </cell>
          <cell r="L46">
            <v>31746076</v>
          </cell>
          <cell r="M46">
            <v>34184454</v>
          </cell>
          <cell r="N46">
            <v>0.92866997378398963</v>
          </cell>
          <cell r="O46">
            <v>93.197956651805001</v>
          </cell>
        </row>
        <row r="47">
          <cell r="B47" t="str">
            <v>MH32</v>
          </cell>
          <cell r="C47" t="str">
            <v>MH32-DY. RTO,WARDHA</v>
          </cell>
          <cell r="D47">
            <v>0</v>
          </cell>
          <cell r="E47">
            <v>1884982</v>
          </cell>
          <cell r="F47">
            <v>1884982</v>
          </cell>
          <cell r="G47">
            <v>3832005</v>
          </cell>
          <cell r="H47">
            <v>37193943</v>
          </cell>
          <cell r="I47">
            <v>209326</v>
          </cell>
          <cell r="J47" t="str">
            <v>41235274</v>
          </cell>
          <cell r="K47">
            <v>3832005</v>
          </cell>
          <cell r="L47">
            <v>39078925</v>
          </cell>
          <cell r="M47">
            <v>43120256</v>
          </cell>
          <cell r="N47">
            <v>0.90627766681162558</v>
          </cell>
          <cell r="O47">
            <v>90.95074578738901</v>
          </cell>
        </row>
        <row r="48">
          <cell r="B48" t="str">
            <v>MH34</v>
          </cell>
          <cell r="C48" t="str">
            <v>MH34-DY. RTO,CHANDRAPUR</v>
          </cell>
          <cell r="D48">
            <v>0</v>
          </cell>
          <cell r="E48">
            <v>3662326</v>
          </cell>
          <cell r="F48">
            <v>3662326</v>
          </cell>
          <cell r="G48">
            <v>10903309</v>
          </cell>
          <cell r="H48">
            <v>86697068</v>
          </cell>
          <cell r="I48">
            <v>0</v>
          </cell>
          <cell r="J48">
            <v>97600377</v>
          </cell>
          <cell r="K48">
            <v>10903309</v>
          </cell>
          <cell r="L48">
            <v>90359394</v>
          </cell>
          <cell r="M48">
            <v>101262703</v>
          </cell>
          <cell r="N48">
            <v>0.89232650643346934</v>
          </cell>
          <cell r="O48">
            <v>89.550657837018576</v>
          </cell>
        </row>
        <row r="49">
          <cell r="B49" t="str">
            <v>MH36</v>
          </cell>
          <cell r="C49" t="str">
            <v>MH36-DY. RTO,BHANDARA</v>
          </cell>
          <cell r="D49">
            <v>0</v>
          </cell>
          <cell r="E49">
            <v>2182135</v>
          </cell>
          <cell r="F49">
            <v>2182135</v>
          </cell>
          <cell r="G49">
            <v>3966289</v>
          </cell>
          <cell r="H49">
            <v>29477182</v>
          </cell>
          <cell r="I49">
            <v>0</v>
          </cell>
          <cell r="J49" t="str">
            <v>33443471</v>
          </cell>
          <cell r="K49">
            <v>3966289</v>
          </cell>
          <cell r="L49">
            <v>31659317</v>
          </cell>
          <cell r="M49">
            <v>35625606</v>
          </cell>
          <cell r="N49">
            <v>0.88866746575482813</v>
          </cell>
          <cell r="O49">
            <v>89.183449760756901</v>
          </cell>
        </row>
        <row r="50">
          <cell r="B50" t="str">
            <v>MH26</v>
          </cell>
          <cell r="C50" t="str">
            <v>MH26-RTO,NANDED</v>
          </cell>
          <cell r="D50">
            <v>0</v>
          </cell>
          <cell r="E50">
            <v>5055994</v>
          </cell>
          <cell r="F50">
            <v>5055994</v>
          </cell>
          <cell r="G50">
            <v>11012195</v>
          </cell>
          <cell r="H50">
            <v>83237088</v>
          </cell>
          <cell r="I50">
            <v>194645</v>
          </cell>
          <cell r="J50" t="str">
            <v>94443928</v>
          </cell>
          <cell r="K50">
            <v>11012195</v>
          </cell>
          <cell r="L50">
            <v>88293082</v>
          </cell>
          <cell r="M50">
            <v>99499922</v>
          </cell>
          <cell r="N50">
            <v>0.88736835391690061</v>
          </cell>
          <cell r="O50">
            <v>89.0530755996718</v>
          </cell>
        </row>
        <row r="51">
          <cell r="B51" t="str">
            <v>MH35</v>
          </cell>
          <cell r="C51" t="str">
            <v>MH35-DY. RTO,GONDIA</v>
          </cell>
          <cell r="D51">
            <v>0</v>
          </cell>
          <cell r="E51">
            <v>2060017</v>
          </cell>
          <cell r="F51">
            <v>2060017</v>
          </cell>
          <cell r="G51">
            <v>6968624</v>
          </cell>
          <cell r="H51">
            <v>32746888</v>
          </cell>
          <cell r="I51">
            <v>0</v>
          </cell>
          <cell r="J51" t="str">
            <v>39715512</v>
          </cell>
          <cell r="K51">
            <v>6968624</v>
          </cell>
          <cell r="L51">
            <v>34806905</v>
          </cell>
          <cell r="M51">
            <v>41775529</v>
          </cell>
          <cell r="N51">
            <v>0.83318885082221217</v>
          </cell>
          <cell r="O51">
            <v>83.615816806582387</v>
          </cell>
        </row>
      </sheetData>
      <sheetData sheetId="12">
        <row r="2">
          <cell r="B2" t="str">
            <v>MH48</v>
          </cell>
          <cell r="C2" t="str">
            <v>DY. RTO VASAI-VIRAR</v>
          </cell>
          <cell r="D2">
            <v>15610</v>
          </cell>
          <cell r="E2">
            <v>3558</v>
          </cell>
          <cell r="F2">
            <v>0.22793081358103778</v>
          </cell>
          <cell r="G2">
            <v>12.221677217341522</v>
          </cell>
        </row>
        <row r="3">
          <cell r="B3" t="str">
            <v>MH21</v>
          </cell>
          <cell r="C3" t="str">
            <v>DY.RTO,JALNA</v>
          </cell>
          <cell r="D3">
            <v>5119</v>
          </cell>
          <cell r="E3">
            <v>1155</v>
          </cell>
          <cell r="F3">
            <v>0.22563000586051962</v>
          </cell>
          <cell r="G3">
            <v>12.346304831439635</v>
          </cell>
        </row>
        <row r="4">
          <cell r="B4" t="str">
            <v>MH43</v>
          </cell>
          <cell r="C4" t="str">
            <v>DY.RTO,VASHI</v>
          </cell>
          <cell r="D4">
            <v>11627</v>
          </cell>
          <cell r="E4">
            <v>2174</v>
          </cell>
          <cell r="F4">
            <v>0.1869785843295777</v>
          </cell>
          <cell r="G4">
            <v>14.898480708161102</v>
          </cell>
        </row>
        <row r="5">
          <cell r="B5" t="str">
            <v>MH46</v>
          </cell>
          <cell r="C5" t="str">
            <v>RTO, PANVEL</v>
          </cell>
          <cell r="D5">
            <v>12894</v>
          </cell>
          <cell r="E5">
            <v>2378</v>
          </cell>
          <cell r="F5">
            <v>0.18442686520862417</v>
          </cell>
          <cell r="G5">
            <v>15.104615199755736</v>
          </cell>
        </row>
        <row r="6">
          <cell r="B6" t="str">
            <v>MH23</v>
          </cell>
          <cell r="C6" t="str">
            <v>DY.RTO,BEED</v>
          </cell>
          <cell r="D6">
            <v>6100</v>
          </cell>
          <cell r="E6">
            <v>1091</v>
          </cell>
          <cell r="F6">
            <v>0.17885245901639343</v>
          </cell>
          <cell r="G6">
            <v>15.575390166808681</v>
          </cell>
        </row>
        <row r="7">
          <cell r="B7" t="str">
            <v>MH22</v>
          </cell>
          <cell r="C7" t="str">
            <v>DY.RTO,PARBHANI</v>
          </cell>
          <cell r="D7">
            <v>6636</v>
          </cell>
          <cell r="E7">
            <v>1167</v>
          </cell>
          <cell r="F7">
            <v>0.17585895117540687</v>
          </cell>
          <cell r="G7">
            <v>15.840517715216846</v>
          </cell>
        </row>
        <row r="8">
          <cell r="B8" t="str">
            <v>MH01</v>
          </cell>
          <cell r="C8" t="str">
            <v>RTO,MUMBAI CENTRAL</v>
          </cell>
          <cell r="D8">
            <v>33741</v>
          </cell>
          <cell r="E8">
            <v>5902</v>
          </cell>
          <cell r="F8">
            <v>0.17492071959930056</v>
          </cell>
          <cell r="G8">
            <v>15.925482343400022</v>
          </cell>
        </row>
        <row r="9">
          <cell r="B9" t="str">
            <v>MH20</v>
          </cell>
          <cell r="C9" t="str">
            <v>RTO,AURANGABAD</v>
          </cell>
          <cell r="D9">
            <v>14168</v>
          </cell>
          <cell r="E9">
            <v>2368</v>
          </cell>
          <cell r="F9">
            <v>0.16713721061547149</v>
          </cell>
          <cell r="G9">
            <v>16.667125299120087</v>
          </cell>
        </row>
        <row r="10">
          <cell r="B10" t="str">
            <v>MH47</v>
          </cell>
          <cell r="C10" t="str">
            <v>DY.RTO,BORIVALI</v>
          </cell>
          <cell r="D10">
            <v>27537</v>
          </cell>
          <cell r="E10">
            <v>4568</v>
          </cell>
          <cell r="F10">
            <v>0.16588589897229183</v>
          </cell>
          <cell r="G10">
            <v>16.792848872216595</v>
          </cell>
        </row>
        <row r="11">
          <cell r="B11" t="str">
            <v>MH03</v>
          </cell>
          <cell r="C11" t="str">
            <v>RTO,MUMBAI (EAST)</v>
          </cell>
          <cell r="D11">
            <v>32661</v>
          </cell>
          <cell r="E11">
            <v>5367</v>
          </cell>
          <cell r="F11">
            <v>0.16432442362450631</v>
          </cell>
          <cell r="G11">
            <v>16.952421131499076</v>
          </cell>
        </row>
        <row r="12">
          <cell r="B12" t="str">
            <v>MH14</v>
          </cell>
          <cell r="C12" t="str">
            <v>DY.RTO,PIMPRI-CHINCHWAD</v>
          </cell>
          <cell r="D12">
            <v>31209</v>
          </cell>
          <cell r="E12">
            <v>5102</v>
          </cell>
          <cell r="F12">
            <v>0.16347848377070717</v>
          </cell>
          <cell r="G12">
            <v>17.040143554185818</v>
          </cell>
        </row>
        <row r="13">
          <cell r="B13" t="str">
            <v>MH02</v>
          </cell>
          <cell r="C13" t="str">
            <v>RTO,MUMBAI (WEST</v>
          </cell>
          <cell r="D13">
            <v>33136</v>
          </cell>
          <cell r="E13">
            <v>5312</v>
          </cell>
          <cell r="F13">
            <v>0.16030902945436987</v>
          </cell>
          <cell r="G13">
            <v>17.377042584281902</v>
          </cell>
        </row>
        <row r="14">
          <cell r="B14" t="str">
            <v>MH05</v>
          </cell>
          <cell r="C14" t="str">
            <v>DY.RTO,KALYAN</v>
          </cell>
          <cell r="D14">
            <v>23597</v>
          </cell>
          <cell r="E14">
            <v>3592</v>
          </cell>
          <cell r="F14">
            <v>0.1522227401788363</v>
          </cell>
          <cell r="G14">
            <v>18.300135894287266</v>
          </cell>
        </row>
        <row r="15">
          <cell r="B15" t="str">
            <v>MH34</v>
          </cell>
          <cell r="C15" t="str">
            <v>DY. RTO,CHANDRAPUR</v>
          </cell>
          <cell r="D15">
            <v>7984</v>
          </cell>
          <cell r="E15">
            <v>1187</v>
          </cell>
          <cell r="F15">
            <v>0.14867234468937876</v>
          </cell>
          <cell r="G15">
            <v>18.737155435959831</v>
          </cell>
        </row>
        <row r="16">
          <cell r="B16" t="str">
            <v>MH31</v>
          </cell>
          <cell r="C16" t="str">
            <v>RTO,NAGPUR_CITY</v>
          </cell>
          <cell r="D16">
            <v>12915</v>
          </cell>
          <cell r="E16">
            <v>1779</v>
          </cell>
          <cell r="F16">
            <v>0.13774680603948897</v>
          </cell>
          <cell r="G16">
            <v>20.223313422417135</v>
          </cell>
        </row>
        <row r="17">
          <cell r="B17" t="str">
            <v>MH08</v>
          </cell>
          <cell r="C17" t="str">
            <v>DY.RTO,RATNAGIRI</v>
          </cell>
          <cell r="D17">
            <v>9051</v>
          </cell>
          <cell r="E17">
            <v>1178</v>
          </cell>
          <cell r="F17">
            <v>0.13015136449011158</v>
          </cell>
          <cell r="G17">
            <v>21.403516147424899</v>
          </cell>
        </row>
        <row r="18">
          <cell r="B18" t="str">
            <v>MH29</v>
          </cell>
          <cell r="C18" t="str">
            <v>DY.RTO,YAWATMAL</v>
          </cell>
          <cell r="D18">
            <v>8093</v>
          </cell>
          <cell r="E18">
            <v>887</v>
          </cell>
          <cell r="F18">
            <v>0.10960088965772891</v>
          </cell>
          <cell r="G18">
            <v>25.416735577356175</v>
          </cell>
        </row>
        <row r="19">
          <cell r="B19" t="str">
            <v>MH19</v>
          </cell>
          <cell r="C19" t="str">
            <v>DY.RTO,JALGAON</v>
          </cell>
          <cell r="D19">
            <v>14472</v>
          </cell>
          <cell r="E19">
            <v>1509</v>
          </cell>
          <cell r="F19">
            <v>0.10427031509121061</v>
          </cell>
          <cell r="G19">
            <v>26.716106391705967</v>
          </cell>
        </row>
        <row r="20">
          <cell r="B20" t="str">
            <v>MH04</v>
          </cell>
          <cell r="C20" t="str">
            <v>RTO,THANE</v>
          </cell>
          <cell r="D20">
            <v>33247</v>
          </cell>
          <cell r="E20">
            <v>3454</v>
          </cell>
          <cell r="F20">
            <v>0.10388907269828856</v>
          </cell>
          <cell r="G20">
            <v>26.814146657787791</v>
          </cell>
        </row>
        <row r="21">
          <cell r="B21" t="str">
            <v>MH44</v>
          </cell>
          <cell r="C21" t="str">
            <v>DY.RTO,AMBEJOGAI</v>
          </cell>
          <cell r="D21">
            <v>4319</v>
          </cell>
          <cell r="E21">
            <v>413</v>
          </cell>
          <cell r="F21">
            <v>9.5623987034035657E-2</v>
          </cell>
          <cell r="G21">
            <v>29.131778729137991</v>
          </cell>
        </row>
        <row r="22">
          <cell r="B22" t="str">
            <v>MH39</v>
          </cell>
          <cell r="C22" t="str">
            <v>DY. RTO,NANDURBAR</v>
          </cell>
          <cell r="D22">
            <v>4396</v>
          </cell>
          <cell r="E22">
            <v>418</v>
          </cell>
          <cell r="F22">
            <v>9.5086442220200185E-2</v>
          </cell>
          <cell r="G22">
            <v>29.296467155879064</v>
          </cell>
        </row>
        <row r="23">
          <cell r="B23" t="str">
            <v>MH42</v>
          </cell>
          <cell r="C23" t="str">
            <v>DY.RTO,BARAMATI</v>
          </cell>
          <cell r="D23">
            <v>6436</v>
          </cell>
          <cell r="E23">
            <v>601</v>
          </cell>
          <cell r="F23">
            <v>9.3380981976382851E-2</v>
          </cell>
          <cell r="G23">
            <v>29.831522142035542</v>
          </cell>
        </row>
        <row r="24">
          <cell r="B24" t="str">
            <v>MH25</v>
          </cell>
          <cell r="C24" t="str">
            <v>DY.RTO,OSMANABAD</v>
          </cell>
          <cell r="D24">
            <v>5283</v>
          </cell>
          <cell r="E24">
            <v>487</v>
          </cell>
          <cell r="F24">
            <v>9.2182472080257427E-2</v>
          </cell>
          <cell r="G24">
            <v>30.219376510625118</v>
          </cell>
        </row>
        <row r="25">
          <cell r="B25" t="str">
            <v>MH45</v>
          </cell>
          <cell r="C25" t="str">
            <v>DY.RTO,AKLUJ</v>
          </cell>
          <cell r="D25">
            <v>5022</v>
          </cell>
          <cell r="E25">
            <v>462</v>
          </cell>
          <cell r="F25">
            <v>9.199522102747909E-2</v>
          </cell>
          <cell r="G25">
            <v>30.280886336926088</v>
          </cell>
        </row>
        <row r="26">
          <cell r="B26" t="str">
            <v>MH40</v>
          </cell>
          <cell r="C26" t="str">
            <v>RTO,NAGPUR_RURAL</v>
          </cell>
          <cell r="D26">
            <v>8731</v>
          </cell>
          <cell r="E26">
            <v>786</v>
          </cell>
          <cell r="F26">
            <v>9.0024052227694426E-2</v>
          </cell>
          <cell r="G26">
            <v>30.943917348085257</v>
          </cell>
        </row>
        <row r="27">
          <cell r="B27" t="str">
            <v>MH17</v>
          </cell>
          <cell r="C27" t="str">
            <v>DY.RTO,SHRIRAMPUR</v>
          </cell>
          <cell r="D27">
            <v>6808</v>
          </cell>
          <cell r="E27">
            <v>606</v>
          </cell>
          <cell r="F27">
            <v>8.9012925969447709E-2</v>
          </cell>
          <cell r="G27">
            <v>31.295419189226898</v>
          </cell>
        </row>
        <row r="28">
          <cell r="B28" t="str">
            <v>MH07</v>
          </cell>
          <cell r="C28" t="str">
            <v>DY.RTO,SINDHUDURG</v>
          </cell>
          <cell r="D28">
            <v>5170</v>
          </cell>
          <cell r="E28">
            <v>453</v>
          </cell>
          <cell r="F28">
            <v>8.7620889748549327E-2</v>
          </cell>
          <cell r="G28">
            <v>31.792610637346421</v>
          </cell>
        </row>
        <row r="29">
          <cell r="B29" t="str">
            <v>MH16</v>
          </cell>
          <cell r="C29" t="str">
            <v>DY.RTO,AHMEDNAGAR</v>
          </cell>
          <cell r="D29">
            <v>8754</v>
          </cell>
          <cell r="E29">
            <v>754</v>
          </cell>
          <cell r="F29">
            <v>8.6132053918208815E-2</v>
          </cell>
          <cell r="G29">
            <v>32.342161886895099</v>
          </cell>
        </row>
        <row r="30">
          <cell r="B30" t="str">
            <v>MH28</v>
          </cell>
          <cell r="C30" t="str">
            <v>DY.RTO,BULDHANA</v>
          </cell>
          <cell r="D30">
            <v>6731</v>
          </cell>
          <cell r="E30">
            <v>573</v>
          </cell>
          <cell r="F30">
            <v>8.5128509879661265E-2</v>
          </cell>
          <cell r="G30">
            <v>32.723429969717351</v>
          </cell>
        </row>
        <row r="31">
          <cell r="B31" t="str">
            <v>MH41</v>
          </cell>
          <cell r="C31" t="str">
            <v>DY.RTO,MALEGAON</v>
          </cell>
          <cell r="D31">
            <v>3789</v>
          </cell>
          <cell r="E31">
            <v>311</v>
          </cell>
          <cell r="F31">
            <v>8.2079704407495388E-2</v>
          </cell>
          <cell r="G31">
            <v>33.938923776376342</v>
          </cell>
        </row>
        <row r="32">
          <cell r="B32" t="str">
            <v>MH26</v>
          </cell>
          <cell r="C32" t="str">
            <v>RTO,NANDED</v>
          </cell>
          <cell r="D32">
            <v>11432</v>
          </cell>
          <cell r="E32">
            <v>933</v>
          </cell>
          <cell r="F32">
            <v>8.1613016095171451E-2</v>
          </cell>
          <cell r="G32">
            <v>34.132996974710508</v>
          </cell>
        </row>
        <row r="33">
          <cell r="B33" t="str">
            <v>MH06</v>
          </cell>
          <cell r="C33" t="str">
            <v>DY.RTO,PEN(RAIGAD)</v>
          </cell>
          <cell r="D33">
            <v>7740</v>
          </cell>
          <cell r="E33">
            <v>625</v>
          </cell>
          <cell r="F33">
            <v>8.0749354005167959E-2</v>
          </cell>
          <cell r="G33">
            <v>34.498069560967664</v>
          </cell>
        </row>
        <row r="34">
          <cell r="B34" t="str">
            <v>MH49</v>
          </cell>
          <cell r="C34" t="str">
            <v>DY.RTO, NAGPUR (EAST)</v>
          </cell>
          <cell r="D34">
            <v>14505</v>
          </cell>
          <cell r="E34">
            <v>1153</v>
          </cell>
          <cell r="F34">
            <v>7.9489831092726643E-2</v>
          </cell>
          <cell r="G34">
            <v>35.044694310947897</v>
          </cell>
        </row>
        <row r="35">
          <cell r="B35" t="str">
            <v>MH18</v>
          </cell>
          <cell r="C35" t="str">
            <v>DY.RTO,DHULE</v>
          </cell>
          <cell r="D35">
            <v>6838</v>
          </cell>
          <cell r="E35">
            <v>511</v>
          </cell>
          <cell r="F35">
            <v>7.4729453056449249E-2</v>
          </cell>
          <cell r="G35">
            <v>37.277093803553242</v>
          </cell>
        </row>
        <row r="36">
          <cell r="B36" t="str">
            <v>MH38</v>
          </cell>
          <cell r="C36" t="str">
            <v>DY. RTO,HINGOLI</v>
          </cell>
          <cell r="D36">
            <v>3308</v>
          </cell>
          <cell r="E36">
            <v>242</v>
          </cell>
          <cell r="F36">
            <v>7.3155985489721881E-2</v>
          </cell>
          <cell r="G36">
            <v>38.078864126092135</v>
          </cell>
        </row>
        <row r="37">
          <cell r="B37" t="str">
            <v>MH10</v>
          </cell>
          <cell r="C37" t="str">
            <v>DY.RTO,SANGLI</v>
          </cell>
          <cell r="D37">
            <v>13309</v>
          </cell>
          <cell r="E37">
            <v>911</v>
          </cell>
          <cell r="F37">
            <v>6.8449921106018483E-2</v>
          </cell>
          <cell r="G37">
            <v>40.696859637849222</v>
          </cell>
        </row>
        <row r="38">
          <cell r="B38" t="str">
            <v>MH33</v>
          </cell>
          <cell r="C38" t="str">
            <v>DY. RTO,GADCHIROLI</v>
          </cell>
          <cell r="D38">
            <v>3440</v>
          </cell>
          <cell r="E38">
            <v>232</v>
          </cell>
          <cell r="F38">
            <v>6.7441860465116285E-2</v>
          </cell>
          <cell r="G38">
            <v>41.305159914951702</v>
          </cell>
        </row>
        <row r="39">
          <cell r="B39" t="str">
            <v>MH12</v>
          </cell>
          <cell r="C39" t="str">
            <v>RTO,PUNE</v>
          </cell>
          <cell r="D39">
            <v>55010</v>
          </cell>
          <cell r="E39">
            <v>3688</v>
          </cell>
          <cell r="F39">
            <v>6.7042355935284501E-2</v>
          </cell>
          <cell r="G39">
            <v>41.551296827374323</v>
          </cell>
        </row>
        <row r="40">
          <cell r="B40" t="str">
            <v>MH09</v>
          </cell>
          <cell r="C40" t="str">
            <v>RTO,KOLHAPUR</v>
          </cell>
          <cell r="D40">
            <v>25024</v>
          </cell>
          <cell r="E40">
            <v>1674</v>
          </cell>
          <cell r="F40">
            <v>6.6895780051150891E-2</v>
          </cell>
          <cell r="G40">
            <v>41.642340209553488</v>
          </cell>
        </row>
        <row r="41">
          <cell r="B41" t="str">
            <v>MH37</v>
          </cell>
          <cell r="C41" t="str">
            <v>DY. RTO,VASHIM</v>
          </cell>
          <cell r="D41">
            <v>2909</v>
          </cell>
          <cell r="E41">
            <v>194</v>
          </cell>
          <cell r="F41">
            <v>6.6689584049501552E-2</v>
          </cell>
          <cell r="G41">
            <v>41.771093210084395</v>
          </cell>
        </row>
        <row r="42">
          <cell r="B42" t="str">
            <v>MH35</v>
          </cell>
          <cell r="C42" t="str">
            <v>DY. RTO,GONDIA</v>
          </cell>
          <cell r="D42">
            <v>4192</v>
          </cell>
          <cell r="E42">
            <v>250</v>
          </cell>
          <cell r="F42">
            <v>5.9637404580152674E-2</v>
          </cell>
          <cell r="G42">
            <v>46.710564470147425</v>
          </cell>
        </row>
        <row r="43">
          <cell r="B43" t="str">
            <v>MH27</v>
          </cell>
          <cell r="C43" t="str">
            <v>RTO,AMRAVATI</v>
          </cell>
          <cell r="D43">
            <v>10395</v>
          </cell>
          <cell r="E43">
            <v>613</v>
          </cell>
          <cell r="F43">
            <v>5.8970658970658972E-2</v>
          </cell>
          <cell r="G43">
            <v>47.238692598967205</v>
          </cell>
        </row>
        <row r="44">
          <cell r="B44" t="str">
            <v>MH24</v>
          </cell>
          <cell r="C44" t="str">
            <v>RTO,LATUR</v>
          </cell>
          <cell r="D44">
            <v>8715</v>
          </cell>
          <cell r="E44">
            <v>503</v>
          </cell>
          <cell r="F44">
            <v>5.7716580608146877E-2</v>
          </cell>
          <cell r="G44">
            <v>48.265105141732477</v>
          </cell>
        </row>
        <row r="45">
          <cell r="B45" t="str">
            <v>MH36</v>
          </cell>
          <cell r="C45" t="str">
            <v>DY. RTO,BHANDARA</v>
          </cell>
          <cell r="D45">
            <v>4138</v>
          </cell>
          <cell r="E45">
            <v>232</v>
          </cell>
          <cell r="F45">
            <v>5.606573223779604E-2</v>
          </cell>
          <cell r="G45">
            <v>49.686265037229695</v>
          </cell>
        </row>
        <row r="46">
          <cell r="B46" t="str">
            <v>MH30</v>
          </cell>
          <cell r="C46" t="str">
            <v>DY.RTO,AKOLA</v>
          </cell>
          <cell r="D46">
            <v>7140</v>
          </cell>
          <cell r="E46">
            <v>369</v>
          </cell>
          <cell r="F46">
            <v>5.168067226890756E-2</v>
          </cell>
          <cell r="G46">
            <v>53.902101291926009</v>
          </cell>
        </row>
        <row r="47">
          <cell r="B47" t="str">
            <v>MH15</v>
          </cell>
          <cell r="C47" t="str">
            <v>RTO,NASHIK</v>
          </cell>
          <cell r="D47">
            <v>22000</v>
          </cell>
          <cell r="E47">
            <v>1061</v>
          </cell>
          <cell r="F47">
            <v>4.822727272727273E-2</v>
          </cell>
          <cell r="G47">
            <v>57.761857014530364</v>
          </cell>
        </row>
        <row r="48">
          <cell r="B48" t="str">
            <v>MH13</v>
          </cell>
          <cell r="C48" t="str">
            <v>DY.RTO,SOLAPUR</v>
          </cell>
          <cell r="D48">
            <v>14372</v>
          </cell>
          <cell r="E48">
            <v>687</v>
          </cell>
          <cell r="F48">
            <v>4.7801280267186198E-2</v>
          </cell>
          <cell r="G48">
            <v>58.276615519558881</v>
          </cell>
        </row>
        <row r="49">
          <cell r="B49" t="str">
            <v>MH32</v>
          </cell>
          <cell r="C49" t="str">
            <v>DY. RTO,WARDHA</v>
          </cell>
          <cell r="D49">
            <v>3999</v>
          </cell>
          <cell r="E49">
            <v>175</v>
          </cell>
          <cell r="F49">
            <v>4.3760940235058762E-2</v>
          </cell>
          <cell r="G49">
            <v>63.657152166071285</v>
          </cell>
        </row>
        <row r="50">
          <cell r="B50" t="str">
            <v>MH50</v>
          </cell>
          <cell r="C50" t="str">
            <v>DY.RTO, KARAD</v>
          </cell>
          <cell r="D50">
            <v>6335</v>
          </cell>
          <cell r="E50">
            <v>260</v>
          </cell>
          <cell r="F50">
            <v>4.1041831097079713E-2</v>
          </cell>
          <cell r="G50">
            <v>67.874574720709774</v>
          </cell>
        </row>
        <row r="51">
          <cell r="B51" t="str">
            <v>MH11</v>
          </cell>
          <cell r="C51" t="str">
            <v>DY.RTO,SATARA</v>
          </cell>
          <cell r="D51">
            <v>12277</v>
          </cell>
          <cell r="E51">
            <v>342</v>
          </cell>
          <cell r="F51">
            <v>2.7856968314734869E-2</v>
          </cell>
          <cell r="G51">
            <v>100</v>
          </cell>
        </row>
      </sheetData>
      <sheetData sheetId="13" refreshError="1"/>
      <sheetData sheetId="14">
        <row r="2">
          <cell r="C2" t="str">
            <v>MH10</v>
          </cell>
          <cell r="D2" t="str">
            <v>10</v>
          </cell>
          <cell r="E2">
            <v>8289</v>
          </cell>
          <cell r="F2">
            <v>914</v>
          </cell>
          <cell r="G2">
            <v>0.11026661840994088</v>
          </cell>
          <cell r="H2">
            <v>22.777772123556055</v>
          </cell>
        </row>
        <row r="3">
          <cell r="C3" t="str">
            <v>MH02</v>
          </cell>
          <cell r="D3" t="str">
            <v>02</v>
          </cell>
          <cell r="E3">
            <v>7392</v>
          </cell>
          <cell r="F3">
            <v>695</v>
          </cell>
          <cell r="G3">
            <v>9.4020562770562768E-2</v>
          </cell>
          <cell r="H3">
            <v>26.71360214154258</v>
          </cell>
        </row>
        <row r="4">
          <cell r="C4" t="str">
            <v>MH09</v>
          </cell>
          <cell r="D4" t="str">
            <v>09</v>
          </cell>
          <cell r="E4">
            <v>12163</v>
          </cell>
          <cell r="F4">
            <v>1110</v>
          </cell>
          <cell r="G4">
            <v>9.1260379840499881E-2</v>
          </cell>
          <cell r="H4">
            <v>27.521558768070399</v>
          </cell>
        </row>
        <row r="5">
          <cell r="C5" t="str">
            <v>MH44</v>
          </cell>
          <cell r="D5" t="str">
            <v>44</v>
          </cell>
          <cell r="E5">
            <v>2096</v>
          </cell>
          <cell r="F5">
            <v>190</v>
          </cell>
          <cell r="G5">
            <v>9.0648854961832059E-2</v>
          </cell>
          <cell r="H5">
            <v>27.707221542227668</v>
          </cell>
        </row>
        <row r="6">
          <cell r="C6" t="str">
            <v>MH23</v>
          </cell>
          <cell r="D6" t="str">
            <v>23</v>
          </cell>
          <cell r="E6">
            <v>3315</v>
          </cell>
          <cell r="F6">
            <v>254</v>
          </cell>
          <cell r="G6">
            <v>7.6621417797888391E-2</v>
          </cell>
          <cell r="H6">
            <v>32.779710675700422</v>
          </cell>
        </row>
        <row r="7">
          <cell r="C7" t="str">
            <v>MH08</v>
          </cell>
          <cell r="D7" t="str">
            <v>08</v>
          </cell>
          <cell r="E7">
            <v>3820</v>
          </cell>
          <cell r="F7">
            <v>291</v>
          </cell>
          <cell r="G7">
            <v>7.6178010471204191E-2</v>
          </cell>
          <cell r="H7">
            <v>32.970510668904339</v>
          </cell>
        </row>
        <row r="8">
          <cell r="C8" t="str">
            <v>MH06</v>
          </cell>
          <cell r="D8" t="str">
            <v>06</v>
          </cell>
          <cell r="E8">
            <v>3483</v>
          </cell>
          <cell r="F8">
            <v>260</v>
          </cell>
          <cell r="G8">
            <v>7.4648291702555269E-2</v>
          </cell>
          <cell r="H8">
            <v>33.646153846153851</v>
          </cell>
        </row>
        <row r="9">
          <cell r="C9" t="str">
            <v>MH19</v>
          </cell>
          <cell r="D9" t="str">
            <v>19</v>
          </cell>
          <cell r="E9">
            <v>6436</v>
          </cell>
          <cell r="F9">
            <v>473</v>
          </cell>
          <cell r="G9">
            <v>7.3492852703542569E-2</v>
          </cell>
          <cell r="H9">
            <v>34.175131520723738</v>
          </cell>
        </row>
        <row r="10">
          <cell r="C10" t="str">
            <v>MH43</v>
          </cell>
          <cell r="D10" t="str">
            <v>43</v>
          </cell>
          <cell r="E10">
            <v>6871</v>
          </cell>
          <cell r="F10">
            <v>476</v>
          </cell>
          <cell r="G10">
            <v>6.9276670062581869E-2</v>
          </cell>
          <cell r="H10">
            <v>36.255032245456327</v>
          </cell>
        </row>
        <row r="11">
          <cell r="C11" t="str">
            <v>MH01</v>
          </cell>
          <cell r="D11" t="str">
            <v>01</v>
          </cell>
          <cell r="E11">
            <v>9092</v>
          </cell>
          <cell r="F11">
            <v>629</v>
          </cell>
          <cell r="G11">
            <v>6.918169819621646E-2</v>
          </cell>
          <cell r="H11">
            <v>36.304802750767188</v>
          </cell>
        </row>
        <row r="12">
          <cell r="C12" t="str">
            <v>MH03</v>
          </cell>
          <cell r="D12" t="str">
            <v>03</v>
          </cell>
          <cell r="E12">
            <v>12149</v>
          </cell>
          <cell r="F12">
            <v>835</v>
          </cell>
          <cell r="G12">
            <v>6.8729936620297971E-2</v>
          </cell>
          <cell r="H12">
            <v>36.543434062108346</v>
          </cell>
        </row>
        <row r="13">
          <cell r="C13" t="str">
            <v>MH48</v>
          </cell>
          <cell r="D13" t="str">
            <v>48</v>
          </cell>
          <cell r="E13">
            <v>9041</v>
          </cell>
          <cell r="F13">
            <v>612</v>
          </cell>
          <cell r="G13">
            <v>6.7691627032407914E-2</v>
          </cell>
          <cell r="H13">
            <v>37.103967168262656</v>
          </cell>
        </row>
        <row r="14">
          <cell r="C14" t="str">
            <v>MH17</v>
          </cell>
          <cell r="D14" t="str">
            <v>17</v>
          </cell>
          <cell r="E14">
            <v>4823</v>
          </cell>
          <cell r="F14">
            <v>326</v>
          </cell>
          <cell r="G14">
            <v>6.7592784573916653E-2</v>
          </cell>
          <cell r="H14">
            <v>37.158225139106868</v>
          </cell>
        </row>
        <row r="15">
          <cell r="C15" t="str">
            <v>MH05</v>
          </cell>
          <cell r="D15" t="str">
            <v>05</v>
          </cell>
          <cell r="E15">
            <v>10688</v>
          </cell>
          <cell r="F15">
            <v>664</v>
          </cell>
          <cell r="G15">
            <v>6.2125748502994009E-2</v>
          </cell>
          <cell r="H15">
            <v>40.428131129167838</v>
          </cell>
        </row>
        <row r="16">
          <cell r="C16" t="str">
            <v>MH07</v>
          </cell>
          <cell r="D16" t="str">
            <v>07</v>
          </cell>
          <cell r="E16">
            <v>2297</v>
          </cell>
          <cell r="F16">
            <v>136</v>
          </cell>
          <cell r="G16">
            <v>5.9207662168045273E-2</v>
          </cell>
          <cell r="H16">
            <v>42.420656634746926</v>
          </cell>
        </row>
        <row r="17">
          <cell r="C17" t="str">
            <v>MH22</v>
          </cell>
          <cell r="D17" t="str">
            <v>22</v>
          </cell>
          <cell r="E17">
            <v>2924</v>
          </cell>
          <cell r="F17">
            <v>171</v>
          </cell>
          <cell r="G17">
            <v>5.8481532147742821E-2</v>
          </cell>
          <cell r="H17">
            <v>42.947368421052637</v>
          </cell>
        </row>
        <row r="18">
          <cell r="C18" t="str">
            <v>MH04</v>
          </cell>
          <cell r="D18" t="str">
            <v>04</v>
          </cell>
          <cell r="E18">
            <v>18249</v>
          </cell>
          <cell r="F18">
            <v>1043</v>
          </cell>
          <cell r="G18">
            <v>5.7153816647487532E-2</v>
          </cell>
          <cell r="H18">
            <v>43.945060090525992</v>
          </cell>
        </row>
        <row r="19">
          <cell r="C19" t="str">
            <v>MH20</v>
          </cell>
          <cell r="D19" t="str">
            <v>20</v>
          </cell>
          <cell r="E19">
            <v>10568</v>
          </cell>
          <cell r="F19">
            <v>590</v>
          </cell>
          <cell r="G19">
            <v>5.5828917486752463E-2</v>
          </cell>
          <cell r="H19">
            <v>44.987938510051237</v>
          </cell>
        </row>
        <row r="20">
          <cell r="C20" t="str">
            <v>MH49</v>
          </cell>
          <cell r="D20" t="str">
            <v>49</v>
          </cell>
          <cell r="E20">
            <v>7474</v>
          </cell>
          <cell r="F20">
            <v>399</v>
          </cell>
          <cell r="G20">
            <v>5.3385068236553382E-2</v>
          </cell>
          <cell r="H20">
            <v>47.047385906627035</v>
          </cell>
        </row>
        <row r="21">
          <cell r="C21" t="str">
            <v>MH47</v>
          </cell>
          <cell r="D21" t="str">
            <v>47</v>
          </cell>
          <cell r="E21">
            <v>8953</v>
          </cell>
          <cell r="F21">
            <v>470</v>
          </cell>
          <cell r="G21">
            <v>5.2496369931866411E-2</v>
          </cell>
          <cell r="H21">
            <v>47.843839683325093</v>
          </cell>
        </row>
        <row r="22">
          <cell r="C22" t="str">
            <v>MH50</v>
          </cell>
          <cell r="D22" t="str">
            <v>50</v>
          </cell>
          <cell r="E22">
            <v>2388</v>
          </cell>
          <cell r="F22">
            <v>125</v>
          </cell>
          <cell r="G22">
            <v>5.2345058626465664E-2</v>
          </cell>
          <cell r="H22">
            <v>47.982139534883721</v>
          </cell>
        </row>
        <row r="23">
          <cell r="C23" t="str">
            <v>MH41</v>
          </cell>
          <cell r="D23" t="str">
            <v>41</v>
          </cell>
          <cell r="E23">
            <v>4331</v>
          </cell>
          <cell r="F23">
            <v>226</v>
          </cell>
          <cell r="G23">
            <v>5.2181944123758948E-2</v>
          </cell>
          <cell r="H23">
            <v>48.13212595184195</v>
          </cell>
        </row>
        <row r="24">
          <cell r="C24" t="str">
            <v>MH15</v>
          </cell>
          <cell r="D24" t="str">
            <v>15</v>
          </cell>
          <cell r="E24">
            <v>11004</v>
          </cell>
          <cell r="F24">
            <v>561</v>
          </cell>
          <cell r="G24">
            <v>5.0981461286804801E-2</v>
          </cell>
          <cell r="H24">
            <v>49.265514239522453</v>
          </cell>
        </row>
        <row r="25">
          <cell r="C25" t="str">
            <v>MH45</v>
          </cell>
          <cell r="D25" t="str">
            <v>45</v>
          </cell>
          <cell r="E25">
            <v>3072</v>
          </cell>
          <cell r="F25">
            <v>154</v>
          </cell>
          <cell r="G25">
            <v>5.0130208333333336E-2</v>
          </cell>
          <cell r="H25">
            <v>50.102083962549081</v>
          </cell>
        </row>
        <row r="26">
          <cell r="C26" t="str">
            <v>MH12</v>
          </cell>
          <cell r="D26" t="str">
            <v>12</v>
          </cell>
          <cell r="E26">
            <v>27594</v>
          </cell>
          <cell r="F26">
            <v>1365</v>
          </cell>
          <cell r="G26">
            <v>4.9467275494672752E-2</v>
          </cell>
          <cell r="H26">
            <v>50.773524150268344</v>
          </cell>
        </row>
        <row r="27">
          <cell r="C27" t="str">
            <v>MH30</v>
          </cell>
          <cell r="D27" t="str">
            <v>30</v>
          </cell>
          <cell r="E27">
            <v>3066</v>
          </cell>
          <cell r="F27">
            <v>150</v>
          </cell>
          <cell r="G27">
            <v>4.8923679060665359E-2</v>
          </cell>
          <cell r="H27">
            <v>51.337674418604664</v>
          </cell>
        </row>
        <row r="28">
          <cell r="C28" t="str">
            <v>MH39</v>
          </cell>
          <cell r="D28" t="str">
            <v>39</v>
          </cell>
          <cell r="E28">
            <v>1307</v>
          </cell>
          <cell r="F28">
            <v>62</v>
          </cell>
          <cell r="G28">
            <v>4.7436878347360364E-2</v>
          </cell>
          <cell r="H28">
            <v>52.94673668417105</v>
          </cell>
        </row>
        <row r="29">
          <cell r="C29" t="str">
            <v>MH46</v>
          </cell>
          <cell r="D29" t="str">
            <v>46</v>
          </cell>
          <cell r="E29">
            <v>9932</v>
          </cell>
          <cell r="F29">
            <v>471</v>
          </cell>
          <cell r="G29">
            <v>4.7422472815142974E-2</v>
          </cell>
          <cell r="H29">
            <v>52.962820322915128</v>
          </cell>
        </row>
        <row r="30">
          <cell r="C30" t="str">
            <v>MH31</v>
          </cell>
          <cell r="D30" t="str">
            <v>31</v>
          </cell>
          <cell r="E30">
            <v>3784</v>
          </cell>
          <cell r="F30">
            <v>174</v>
          </cell>
          <cell r="G30">
            <v>4.59830866807611E-2</v>
          </cell>
          <cell r="H30">
            <v>54.620689655172413</v>
          </cell>
        </row>
        <row r="31">
          <cell r="C31" t="str">
            <v>MH29</v>
          </cell>
          <cell r="D31" t="str">
            <v>29</v>
          </cell>
          <cell r="E31">
            <v>4854</v>
          </cell>
          <cell r="F31">
            <v>223</v>
          </cell>
          <cell r="G31">
            <v>4.5941491553358055E-2</v>
          </cell>
          <cell r="H31">
            <v>54.670142872040884</v>
          </cell>
        </row>
        <row r="32">
          <cell r="C32" t="str">
            <v>MH42</v>
          </cell>
          <cell r="D32" t="str">
            <v>42</v>
          </cell>
          <cell r="E32">
            <v>3217</v>
          </cell>
          <cell r="F32">
            <v>145</v>
          </cell>
          <cell r="G32">
            <v>4.507304942493006E-2</v>
          </cell>
          <cell r="H32">
            <v>55.723496391339211</v>
          </cell>
        </row>
        <row r="33">
          <cell r="C33" t="str">
            <v>MH24</v>
          </cell>
          <cell r="D33" t="str">
            <v>24</v>
          </cell>
          <cell r="E33">
            <v>4698</v>
          </cell>
          <cell r="F33">
            <v>210</v>
          </cell>
          <cell r="G33">
            <v>4.4699872286079183E-2</v>
          </cell>
          <cell r="H33">
            <v>56.188704318936878</v>
          </cell>
        </row>
        <row r="34">
          <cell r="C34" t="str">
            <v>MH36</v>
          </cell>
          <cell r="D34" t="str">
            <v>36</v>
          </cell>
          <cell r="E34">
            <v>3043</v>
          </cell>
          <cell r="F34">
            <v>126</v>
          </cell>
          <cell r="G34">
            <v>4.1406506736772923E-2</v>
          </cell>
          <cell r="H34">
            <v>60.657807308970099</v>
          </cell>
        </row>
        <row r="35">
          <cell r="C35" t="str">
            <v>MH11</v>
          </cell>
          <cell r="D35" t="str">
            <v>11</v>
          </cell>
          <cell r="E35">
            <v>6471</v>
          </cell>
          <cell r="F35">
            <v>264</v>
          </cell>
          <cell r="G35">
            <v>4.0797403801576267E-2</v>
          </cell>
          <cell r="H35">
            <v>61.563424947145876</v>
          </cell>
        </row>
        <row r="36">
          <cell r="C36" t="str">
            <v>MH16</v>
          </cell>
          <cell r="D36" t="str">
            <v>16</v>
          </cell>
          <cell r="E36">
            <v>5771</v>
          </cell>
          <cell r="F36">
            <v>228</v>
          </cell>
          <cell r="G36">
            <v>3.9507884248830359E-2</v>
          </cell>
          <cell r="H36">
            <v>63.572827417380665</v>
          </cell>
        </row>
        <row r="37">
          <cell r="C37" t="str">
            <v>MH25</v>
          </cell>
          <cell r="D37" t="str">
            <v>25</v>
          </cell>
          <cell r="E37">
            <v>3001</v>
          </cell>
          <cell r="F37">
            <v>117</v>
          </cell>
          <cell r="G37">
            <v>3.8987004331889369E-2</v>
          </cell>
          <cell r="H37">
            <v>64.422182468694103</v>
          </cell>
        </row>
        <row r="38">
          <cell r="C38" t="str">
            <v>MH26</v>
          </cell>
          <cell r="D38" t="str">
            <v>26</v>
          </cell>
          <cell r="E38">
            <v>5926</v>
          </cell>
          <cell r="F38">
            <v>228</v>
          </cell>
          <cell r="G38">
            <v>3.8474519068511646E-2</v>
          </cell>
          <cell r="H38">
            <v>65.280293757649943</v>
          </cell>
        </row>
        <row r="39">
          <cell r="C39" t="str">
            <v>MH33</v>
          </cell>
          <cell r="D39" t="str">
            <v>33</v>
          </cell>
          <cell r="E39">
            <v>1616</v>
          </cell>
          <cell r="F39">
            <v>62</v>
          </cell>
          <cell r="G39">
            <v>3.8366336633663366E-2</v>
          </cell>
          <cell r="H39">
            <v>65.464366091522891</v>
          </cell>
        </row>
        <row r="40">
          <cell r="C40" t="str">
            <v>MH28</v>
          </cell>
          <cell r="D40" t="str">
            <v>28</v>
          </cell>
          <cell r="E40">
            <v>3992</v>
          </cell>
          <cell r="F40">
            <v>149</v>
          </cell>
          <cell r="G40">
            <v>3.7324649298597197E-2</v>
          </cell>
          <cell r="H40">
            <v>67.291400031215858</v>
          </cell>
        </row>
        <row r="41">
          <cell r="C41" t="str">
            <v>MH34</v>
          </cell>
          <cell r="D41" t="str">
            <v>34</v>
          </cell>
          <cell r="E41">
            <v>5224</v>
          </cell>
          <cell r="F41">
            <v>191</v>
          </cell>
          <cell r="G41">
            <v>3.6562021439509956E-2</v>
          </cell>
          <cell r="H41">
            <v>68.694995738463419</v>
          </cell>
        </row>
        <row r="42">
          <cell r="C42" t="str">
            <v>MH14</v>
          </cell>
          <cell r="D42" t="str">
            <v>14</v>
          </cell>
          <cell r="E42">
            <v>17188</v>
          </cell>
          <cell r="F42">
            <v>603</v>
          </cell>
          <cell r="G42">
            <v>3.508261577845008E-2</v>
          </cell>
          <cell r="H42">
            <v>71.591808399861165</v>
          </cell>
        </row>
        <row r="43">
          <cell r="C43" t="str">
            <v>MH40</v>
          </cell>
          <cell r="D43" t="str">
            <v>40</v>
          </cell>
          <cell r="E43">
            <v>10149</v>
          </cell>
          <cell r="F43">
            <v>356</v>
          </cell>
          <cell r="G43">
            <v>3.507734752192334E-2</v>
          </cell>
          <cell r="H43">
            <v>71.602560752547689</v>
          </cell>
        </row>
        <row r="44">
          <cell r="C44" t="str">
            <v>MH21</v>
          </cell>
          <cell r="D44" t="str">
            <v>21</v>
          </cell>
          <cell r="E44">
            <v>3982</v>
          </cell>
          <cell r="F44">
            <v>137</v>
          </cell>
          <cell r="G44">
            <v>3.4404821697639379E-2</v>
          </cell>
          <cell r="H44">
            <v>73.002206756068574</v>
          </cell>
        </row>
        <row r="45">
          <cell r="C45" t="str">
            <v>MH13</v>
          </cell>
          <cell r="D45" t="str">
            <v>13</v>
          </cell>
          <cell r="E45">
            <v>7084</v>
          </cell>
          <cell r="F45">
            <v>242</v>
          </cell>
          <cell r="G45">
            <v>3.4161490683229816E-2</v>
          </cell>
          <cell r="H45">
            <v>73.522198731501049</v>
          </cell>
        </row>
        <row r="46">
          <cell r="C46" t="str">
            <v>MH18</v>
          </cell>
          <cell r="D46" t="str">
            <v>18</v>
          </cell>
          <cell r="E46">
            <v>4763</v>
          </cell>
          <cell r="F46">
            <v>148</v>
          </cell>
          <cell r="G46">
            <v>3.1072853243753938E-2</v>
          </cell>
          <cell r="H46">
            <v>80.83029541169077</v>
          </cell>
        </row>
        <row r="47">
          <cell r="C47" t="str">
            <v>MH27</v>
          </cell>
          <cell r="D47" t="str">
            <v>27</v>
          </cell>
          <cell r="E47">
            <v>5831</v>
          </cell>
          <cell r="F47">
            <v>178</v>
          </cell>
          <cell r="G47">
            <v>3.052649631281084E-2</v>
          </cell>
          <cell r="H47">
            <v>82.276979357198854</v>
          </cell>
        </row>
        <row r="48">
          <cell r="C48" t="str">
            <v>MH35</v>
          </cell>
          <cell r="D48" t="str">
            <v>35</v>
          </cell>
          <cell r="E48">
            <v>2853</v>
          </cell>
          <cell r="F48">
            <v>87</v>
          </cell>
          <cell r="G48">
            <v>3.0494216614090432E-2</v>
          </cell>
          <cell r="H48">
            <v>82.364073777064959</v>
          </cell>
        </row>
        <row r="49">
          <cell r="C49" t="str">
            <v>MH38</v>
          </cell>
          <cell r="D49" t="str">
            <v>38</v>
          </cell>
          <cell r="E49">
            <v>1809</v>
          </cell>
          <cell r="F49">
            <v>48</v>
          </cell>
          <cell r="G49">
            <v>2.6533996683250415E-2</v>
          </cell>
          <cell r="H49">
            <v>94.656976744186053</v>
          </cell>
        </row>
        <row r="50">
          <cell r="C50" t="str">
            <v>MH37</v>
          </cell>
          <cell r="D50" t="str">
            <v>37</v>
          </cell>
          <cell r="E50">
            <v>2066</v>
          </cell>
          <cell r="F50">
            <v>54</v>
          </cell>
          <cell r="G50">
            <v>2.6137463697967087E-2</v>
          </cell>
          <cell r="H50">
            <v>96.093023255813961</v>
          </cell>
        </row>
        <row r="51">
          <cell r="C51" t="str">
            <v>MH32</v>
          </cell>
          <cell r="D51" t="str">
            <v>32</v>
          </cell>
          <cell r="E51">
            <v>2150</v>
          </cell>
          <cell r="F51">
            <v>54</v>
          </cell>
          <cell r="G51">
            <v>2.5116279069767444E-2</v>
          </cell>
          <cell r="H51">
            <v>100</v>
          </cell>
        </row>
      </sheetData>
      <sheetData sheetId="15" refreshError="1"/>
      <sheetData sheetId="16">
        <row r="3">
          <cell r="G3" t="str">
            <v>MH45</v>
          </cell>
          <cell r="H3">
            <v>0</v>
          </cell>
          <cell r="I3">
            <v>0</v>
          </cell>
          <cell r="J3">
            <v>99</v>
          </cell>
          <cell r="K3">
            <v>66</v>
          </cell>
          <cell r="L3">
            <v>0</v>
          </cell>
          <cell r="M3">
            <v>0</v>
          </cell>
          <cell r="N3">
            <v>99</v>
          </cell>
          <cell r="O3">
            <v>66</v>
          </cell>
          <cell r="P3">
            <v>1</v>
          </cell>
          <cell r="Q3">
            <v>100</v>
          </cell>
        </row>
        <row r="4">
          <cell r="G4" t="str">
            <v>MH44</v>
          </cell>
          <cell r="H4">
            <v>0</v>
          </cell>
          <cell r="I4">
            <v>0</v>
          </cell>
          <cell r="J4">
            <v>27</v>
          </cell>
          <cell r="K4">
            <v>4</v>
          </cell>
          <cell r="L4">
            <v>0</v>
          </cell>
          <cell r="M4">
            <v>0</v>
          </cell>
          <cell r="N4">
            <v>27</v>
          </cell>
          <cell r="O4">
            <v>4</v>
          </cell>
          <cell r="P4">
            <v>1</v>
          </cell>
          <cell r="Q4">
            <v>100</v>
          </cell>
        </row>
        <row r="5">
          <cell r="G5" t="str">
            <v>MH20</v>
          </cell>
          <cell r="H5">
            <v>0</v>
          </cell>
          <cell r="I5">
            <v>0</v>
          </cell>
          <cell r="J5">
            <v>365</v>
          </cell>
          <cell r="K5">
            <v>204</v>
          </cell>
          <cell r="L5">
            <v>0</v>
          </cell>
          <cell r="M5">
            <v>0</v>
          </cell>
          <cell r="N5">
            <v>365</v>
          </cell>
          <cell r="O5">
            <v>204</v>
          </cell>
          <cell r="P5">
            <v>1</v>
          </cell>
          <cell r="Q5">
            <v>100</v>
          </cell>
        </row>
        <row r="6">
          <cell r="G6" t="str">
            <v>MH42</v>
          </cell>
          <cell r="H6">
            <v>0</v>
          </cell>
          <cell r="I6">
            <v>0</v>
          </cell>
          <cell r="J6">
            <v>18</v>
          </cell>
          <cell r="K6">
            <v>10</v>
          </cell>
          <cell r="L6">
            <v>0</v>
          </cell>
          <cell r="M6">
            <v>0</v>
          </cell>
          <cell r="N6">
            <v>18</v>
          </cell>
          <cell r="O6">
            <v>10</v>
          </cell>
          <cell r="P6">
            <v>1</v>
          </cell>
          <cell r="Q6">
            <v>100</v>
          </cell>
        </row>
        <row r="7">
          <cell r="G7" t="str">
            <v>MH36</v>
          </cell>
          <cell r="H7">
            <v>0</v>
          </cell>
          <cell r="I7">
            <v>0</v>
          </cell>
          <cell r="J7">
            <v>57</v>
          </cell>
          <cell r="K7">
            <v>20</v>
          </cell>
          <cell r="L7">
            <v>0</v>
          </cell>
          <cell r="M7">
            <v>0</v>
          </cell>
          <cell r="N7">
            <v>57</v>
          </cell>
          <cell r="O7">
            <v>20</v>
          </cell>
          <cell r="P7">
            <v>1</v>
          </cell>
          <cell r="Q7">
            <v>100</v>
          </cell>
        </row>
        <row r="8">
          <cell r="G8" t="str">
            <v>MH28</v>
          </cell>
          <cell r="H8">
            <v>0</v>
          </cell>
          <cell r="I8">
            <v>0</v>
          </cell>
          <cell r="J8">
            <v>151</v>
          </cell>
          <cell r="K8">
            <v>88</v>
          </cell>
          <cell r="L8">
            <v>0</v>
          </cell>
          <cell r="M8">
            <v>0</v>
          </cell>
          <cell r="N8">
            <v>151</v>
          </cell>
          <cell r="O8">
            <v>88</v>
          </cell>
          <cell r="P8">
            <v>1</v>
          </cell>
          <cell r="Q8">
            <v>100</v>
          </cell>
        </row>
        <row r="9">
          <cell r="G9" t="str">
            <v>MH33</v>
          </cell>
          <cell r="H9">
            <v>0</v>
          </cell>
          <cell r="I9">
            <v>0</v>
          </cell>
          <cell r="J9">
            <v>144</v>
          </cell>
          <cell r="K9">
            <v>7</v>
          </cell>
          <cell r="L9">
            <v>0</v>
          </cell>
          <cell r="M9">
            <v>0</v>
          </cell>
          <cell r="N9">
            <v>144</v>
          </cell>
          <cell r="O9">
            <v>7</v>
          </cell>
          <cell r="P9">
            <v>1</v>
          </cell>
          <cell r="Q9">
            <v>100</v>
          </cell>
        </row>
        <row r="10">
          <cell r="G10" t="str">
            <v>MH35</v>
          </cell>
          <cell r="H10">
            <v>0</v>
          </cell>
          <cell r="I10">
            <v>0</v>
          </cell>
          <cell r="J10">
            <v>75</v>
          </cell>
          <cell r="K10">
            <v>22</v>
          </cell>
          <cell r="L10">
            <v>0</v>
          </cell>
          <cell r="M10">
            <v>0</v>
          </cell>
          <cell r="N10">
            <v>75</v>
          </cell>
          <cell r="O10">
            <v>22</v>
          </cell>
          <cell r="P10">
            <v>1</v>
          </cell>
          <cell r="Q10">
            <v>100</v>
          </cell>
        </row>
        <row r="11">
          <cell r="G11" t="str">
            <v>MH05</v>
          </cell>
          <cell r="H11">
            <v>0</v>
          </cell>
          <cell r="I11">
            <v>0</v>
          </cell>
          <cell r="J11">
            <v>389</v>
          </cell>
          <cell r="K11">
            <v>249</v>
          </cell>
          <cell r="L11">
            <v>0</v>
          </cell>
          <cell r="M11">
            <v>0</v>
          </cell>
          <cell r="N11">
            <v>389</v>
          </cell>
          <cell r="O11">
            <v>249</v>
          </cell>
          <cell r="P11">
            <v>1</v>
          </cell>
          <cell r="Q11">
            <v>100</v>
          </cell>
        </row>
        <row r="12">
          <cell r="G12" t="str">
            <v>MH41</v>
          </cell>
          <cell r="H12">
            <v>0</v>
          </cell>
          <cell r="I12">
            <v>0</v>
          </cell>
          <cell r="J12">
            <v>152</v>
          </cell>
          <cell r="K12">
            <v>66</v>
          </cell>
          <cell r="L12">
            <v>0</v>
          </cell>
          <cell r="M12">
            <v>0</v>
          </cell>
          <cell r="N12">
            <v>152</v>
          </cell>
          <cell r="O12">
            <v>66</v>
          </cell>
          <cell r="P12">
            <v>1</v>
          </cell>
          <cell r="Q12">
            <v>100</v>
          </cell>
        </row>
        <row r="13">
          <cell r="G13" t="str">
            <v>MH49</v>
          </cell>
          <cell r="H13">
            <v>0</v>
          </cell>
          <cell r="I13">
            <v>0</v>
          </cell>
          <cell r="J13">
            <v>59</v>
          </cell>
          <cell r="K13">
            <v>11</v>
          </cell>
          <cell r="L13">
            <v>0</v>
          </cell>
          <cell r="M13">
            <v>0</v>
          </cell>
          <cell r="N13">
            <v>59</v>
          </cell>
          <cell r="O13">
            <v>11</v>
          </cell>
          <cell r="P13">
            <v>1</v>
          </cell>
          <cell r="Q13">
            <v>100</v>
          </cell>
        </row>
        <row r="14">
          <cell r="G14" t="str">
            <v>MH40</v>
          </cell>
          <cell r="H14">
            <v>0</v>
          </cell>
          <cell r="I14">
            <v>0</v>
          </cell>
          <cell r="J14">
            <v>2853</v>
          </cell>
          <cell r="K14">
            <v>57</v>
          </cell>
          <cell r="L14">
            <v>0</v>
          </cell>
          <cell r="M14">
            <v>0</v>
          </cell>
          <cell r="N14">
            <v>2853</v>
          </cell>
          <cell r="O14">
            <v>57</v>
          </cell>
          <cell r="P14">
            <v>1</v>
          </cell>
          <cell r="Q14">
            <v>100</v>
          </cell>
        </row>
        <row r="15">
          <cell r="G15" t="str">
            <v>MH15</v>
          </cell>
          <cell r="H15">
            <v>0</v>
          </cell>
          <cell r="I15">
            <v>0</v>
          </cell>
          <cell r="J15">
            <v>1345</v>
          </cell>
          <cell r="K15">
            <v>468</v>
          </cell>
          <cell r="L15">
            <v>0</v>
          </cell>
          <cell r="M15">
            <v>0</v>
          </cell>
          <cell r="N15">
            <v>1345</v>
          </cell>
          <cell r="O15">
            <v>468</v>
          </cell>
          <cell r="P15">
            <v>1</v>
          </cell>
          <cell r="Q15">
            <v>100</v>
          </cell>
        </row>
        <row r="16">
          <cell r="G16" t="str">
            <v>MH22</v>
          </cell>
          <cell r="H16">
            <v>0</v>
          </cell>
          <cell r="I16">
            <v>0</v>
          </cell>
          <cell r="J16">
            <v>65</v>
          </cell>
          <cell r="K16">
            <v>46</v>
          </cell>
          <cell r="L16">
            <v>0</v>
          </cell>
          <cell r="M16">
            <v>0</v>
          </cell>
          <cell r="N16">
            <v>65</v>
          </cell>
          <cell r="O16">
            <v>46</v>
          </cell>
          <cell r="P16">
            <v>1</v>
          </cell>
          <cell r="Q16">
            <v>100</v>
          </cell>
        </row>
        <row r="17">
          <cell r="G17" t="str">
            <v>MH06</v>
          </cell>
          <cell r="H17">
            <v>0</v>
          </cell>
          <cell r="I17">
            <v>0</v>
          </cell>
          <cell r="J17">
            <v>402</v>
          </cell>
          <cell r="K17">
            <v>294</v>
          </cell>
          <cell r="L17">
            <v>0</v>
          </cell>
          <cell r="M17">
            <v>0</v>
          </cell>
          <cell r="N17">
            <v>402</v>
          </cell>
          <cell r="O17">
            <v>294</v>
          </cell>
          <cell r="P17">
            <v>1</v>
          </cell>
          <cell r="Q17">
            <v>100</v>
          </cell>
        </row>
        <row r="18">
          <cell r="G18" t="str">
            <v>MH17</v>
          </cell>
          <cell r="H18">
            <v>0</v>
          </cell>
          <cell r="I18">
            <v>0</v>
          </cell>
          <cell r="J18">
            <v>37</v>
          </cell>
          <cell r="K18">
            <v>6</v>
          </cell>
          <cell r="L18">
            <v>0</v>
          </cell>
          <cell r="M18">
            <v>0</v>
          </cell>
          <cell r="N18">
            <v>37</v>
          </cell>
          <cell r="O18">
            <v>6</v>
          </cell>
          <cell r="P18">
            <v>1</v>
          </cell>
          <cell r="Q18">
            <v>100</v>
          </cell>
        </row>
        <row r="19">
          <cell r="G19" t="str">
            <v>MH43</v>
          </cell>
          <cell r="H19">
            <v>0</v>
          </cell>
          <cell r="I19">
            <v>0</v>
          </cell>
          <cell r="J19">
            <v>411</v>
          </cell>
          <cell r="K19">
            <v>278</v>
          </cell>
          <cell r="L19">
            <v>0</v>
          </cell>
          <cell r="M19">
            <v>0</v>
          </cell>
          <cell r="N19">
            <v>411</v>
          </cell>
          <cell r="O19">
            <v>278</v>
          </cell>
          <cell r="P19">
            <v>1</v>
          </cell>
          <cell r="Q19">
            <v>100</v>
          </cell>
        </row>
        <row r="20">
          <cell r="G20" t="str">
            <v>MH32</v>
          </cell>
          <cell r="H20">
            <v>0</v>
          </cell>
          <cell r="I20">
            <v>0</v>
          </cell>
          <cell r="J20">
            <v>89</v>
          </cell>
          <cell r="K20">
            <v>20</v>
          </cell>
          <cell r="L20">
            <v>0</v>
          </cell>
          <cell r="M20">
            <v>0</v>
          </cell>
          <cell r="N20">
            <v>89</v>
          </cell>
          <cell r="O20">
            <v>20</v>
          </cell>
          <cell r="P20">
            <v>1</v>
          </cell>
          <cell r="Q20">
            <v>100</v>
          </cell>
        </row>
        <row r="21">
          <cell r="G21" t="str">
            <v>MH37</v>
          </cell>
          <cell r="H21">
            <v>0</v>
          </cell>
          <cell r="I21">
            <v>0</v>
          </cell>
          <cell r="J21">
            <v>64</v>
          </cell>
          <cell r="K21">
            <v>25</v>
          </cell>
          <cell r="L21">
            <v>0</v>
          </cell>
          <cell r="M21">
            <v>0</v>
          </cell>
          <cell r="N21">
            <v>64</v>
          </cell>
          <cell r="O21">
            <v>25</v>
          </cell>
          <cell r="P21">
            <v>1</v>
          </cell>
          <cell r="Q21">
            <v>100</v>
          </cell>
        </row>
        <row r="22">
          <cell r="G22" t="str">
            <v>MH10</v>
          </cell>
          <cell r="H22">
            <v>0</v>
          </cell>
          <cell r="I22">
            <v>0</v>
          </cell>
          <cell r="J22">
            <v>279</v>
          </cell>
          <cell r="K22">
            <v>126</v>
          </cell>
          <cell r="L22">
            <v>1</v>
          </cell>
          <cell r="M22">
            <v>0</v>
          </cell>
          <cell r="N22">
            <v>280</v>
          </cell>
          <cell r="O22">
            <v>126</v>
          </cell>
          <cell r="P22">
            <v>0.99642857142857144</v>
          </cell>
          <cell r="Q22">
            <v>100</v>
          </cell>
        </row>
        <row r="23">
          <cell r="G23" t="str">
            <v>MH11</v>
          </cell>
          <cell r="H23">
            <v>2</v>
          </cell>
          <cell r="I23">
            <v>2</v>
          </cell>
          <cell r="J23">
            <v>554</v>
          </cell>
          <cell r="K23">
            <v>395</v>
          </cell>
          <cell r="L23">
            <v>0</v>
          </cell>
          <cell r="M23">
            <v>0</v>
          </cell>
          <cell r="N23">
            <v>556</v>
          </cell>
          <cell r="O23">
            <v>397</v>
          </cell>
          <cell r="P23">
            <v>0.99640287769784175</v>
          </cell>
          <cell r="Q23">
            <v>100</v>
          </cell>
        </row>
        <row r="24">
          <cell r="G24" t="str">
            <v>MH48</v>
          </cell>
          <cell r="H24">
            <v>0</v>
          </cell>
          <cell r="I24">
            <v>0</v>
          </cell>
          <cell r="J24">
            <v>272</v>
          </cell>
          <cell r="K24">
            <v>172</v>
          </cell>
          <cell r="L24">
            <v>1</v>
          </cell>
          <cell r="M24">
            <v>0</v>
          </cell>
          <cell r="N24">
            <v>273</v>
          </cell>
          <cell r="O24">
            <v>172</v>
          </cell>
          <cell r="P24">
            <v>0.99633699633699635</v>
          </cell>
          <cell r="Q24">
            <v>100</v>
          </cell>
        </row>
        <row r="25">
          <cell r="G25" t="str">
            <v>MH27</v>
          </cell>
          <cell r="H25">
            <v>1</v>
          </cell>
          <cell r="I25">
            <v>1</v>
          </cell>
          <cell r="J25">
            <v>240</v>
          </cell>
          <cell r="K25">
            <v>129</v>
          </cell>
          <cell r="L25">
            <v>0</v>
          </cell>
          <cell r="M25">
            <v>0</v>
          </cell>
          <cell r="N25">
            <v>241</v>
          </cell>
          <cell r="O25">
            <v>130</v>
          </cell>
          <cell r="P25">
            <v>0.99585062240663902</v>
          </cell>
          <cell r="Q25">
            <v>100</v>
          </cell>
        </row>
        <row r="26">
          <cell r="G26" t="str">
            <v>MH38</v>
          </cell>
          <cell r="H26">
            <v>1</v>
          </cell>
          <cell r="I26">
            <v>1</v>
          </cell>
          <cell r="J26">
            <v>237</v>
          </cell>
          <cell r="K26">
            <v>143</v>
          </cell>
          <cell r="L26">
            <v>0</v>
          </cell>
          <cell r="M26">
            <v>0</v>
          </cell>
          <cell r="N26">
            <v>238</v>
          </cell>
          <cell r="O26">
            <v>144</v>
          </cell>
          <cell r="P26">
            <v>0.99579831932773111</v>
          </cell>
          <cell r="Q26">
            <v>100</v>
          </cell>
        </row>
        <row r="27">
          <cell r="G27" t="str">
            <v>MH30</v>
          </cell>
          <cell r="H27">
            <v>0</v>
          </cell>
          <cell r="I27">
            <v>0</v>
          </cell>
          <cell r="J27">
            <v>155</v>
          </cell>
          <cell r="K27">
            <v>109</v>
          </cell>
          <cell r="L27">
            <v>1</v>
          </cell>
          <cell r="M27">
            <v>0</v>
          </cell>
          <cell r="N27">
            <v>156</v>
          </cell>
          <cell r="O27">
            <v>109</v>
          </cell>
          <cell r="P27">
            <v>0.99358974358974361</v>
          </cell>
          <cell r="Q27">
            <v>99.358974358974365</v>
          </cell>
        </row>
        <row r="28">
          <cell r="G28" t="str">
            <v>MH24</v>
          </cell>
          <cell r="H28">
            <v>0</v>
          </cell>
          <cell r="I28">
            <v>0</v>
          </cell>
          <cell r="J28">
            <v>2759</v>
          </cell>
          <cell r="K28">
            <v>241</v>
          </cell>
          <cell r="L28">
            <v>18</v>
          </cell>
          <cell r="M28">
            <v>0</v>
          </cell>
          <cell r="N28">
            <v>2777</v>
          </cell>
          <cell r="O28">
            <v>241</v>
          </cell>
          <cell r="P28">
            <v>0.99351818509182566</v>
          </cell>
          <cell r="Q28">
            <v>99.351818509182564</v>
          </cell>
        </row>
        <row r="29">
          <cell r="G29" t="str">
            <v>MH04</v>
          </cell>
          <cell r="H29">
            <v>1</v>
          </cell>
          <cell r="I29">
            <v>1</v>
          </cell>
          <cell r="J29">
            <v>2055</v>
          </cell>
          <cell r="K29">
            <v>1310</v>
          </cell>
          <cell r="L29">
            <v>13</v>
          </cell>
          <cell r="M29">
            <v>3</v>
          </cell>
          <cell r="N29">
            <v>2069</v>
          </cell>
          <cell r="O29">
            <v>1314</v>
          </cell>
          <cell r="P29">
            <v>0.99323344610923148</v>
          </cell>
          <cell r="Q29">
            <v>99.323344610923144</v>
          </cell>
        </row>
        <row r="30">
          <cell r="G30" t="str">
            <v>MH26</v>
          </cell>
          <cell r="H30">
            <v>3</v>
          </cell>
          <cell r="I30">
            <v>3</v>
          </cell>
          <cell r="J30">
            <v>908</v>
          </cell>
          <cell r="K30">
            <v>122</v>
          </cell>
          <cell r="L30">
            <v>4</v>
          </cell>
          <cell r="M30">
            <v>0</v>
          </cell>
          <cell r="N30">
            <v>915</v>
          </cell>
          <cell r="O30">
            <v>125</v>
          </cell>
          <cell r="P30">
            <v>0.99234972677595623</v>
          </cell>
          <cell r="Q30">
            <v>99.234972677595621</v>
          </cell>
        </row>
        <row r="31">
          <cell r="G31" t="str">
            <v>MH16</v>
          </cell>
          <cell r="H31">
            <v>1</v>
          </cell>
          <cell r="I31">
            <v>1</v>
          </cell>
          <cell r="J31">
            <v>251</v>
          </cell>
          <cell r="K31">
            <v>155</v>
          </cell>
          <cell r="L31">
            <v>1</v>
          </cell>
          <cell r="M31">
            <v>0</v>
          </cell>
          <cell r="N31">
            <v>253</v>
          </cell>
          <cell r="O31">
            <v>156</v>
          </cell>
          <cell r="P31">
            <v>0.9920948616600791</v>
          </cell>
          <cell r="Q31">
            <v>99.209486166007906</v>
          </cell>
        </row>
        <row r="32">
          <cell r="G32" t="str">
            <v>MH25</v>
          </cell>
          <cell r="H32">
            <v>0</v>
          </cell>
          <cell r="I32">
            <v>0</v>
          </cell>
          <cell r="J32">
            <v>241</v>
          </cell>
          <cell r="K32">
            <v>191</v>
          </cell>
          <cell r="L32">
            <v>2</v>
          </cell>
          <cell r="M32">
            <v>0</v>
          </cell>
          <cell r="N32">
            <v>243</v>
          </cell>
          <cell r="O32">
            <v>191</v>
          </cell>
          <cell r="P32">
            <v>0.99176954732510292</v>
          </cell>
          <cell r="Q32">
            <v>99.176954732510296</v>
          </cell>
        </row>
        <row r="33">
          <cell r="G33" t="str">
            <v>MH09</v>
          </cell>
          <cell r="H33">
            <v>9</v>
          </cell>
          <cell r="I33">
            <v>9</v>
          </cell>
          <cell r="J33">
            <v>3568</v>
          </cell>
          <cell r="K33">
            <v>965</v>
          </cell>
          <cell r="L33">
            <v>24</v>
          </cell>
          <cell r="M33">
            <v>2</v>
          </cell>
          <cell r="N33">
            <v>3601</v>
          </cell>
          <cell r="O33">
            <v>976</v>
          </cell>
          <cell r="P33">
            <v>0.99083587892252156</v>
          </cell>
          <cell r="Q33">
            <v>99.083587892252154</v>
          </cell>
        </row>
        <row r="34">
          <cell r="G34" t="str">
            <v>MH01</v>
          </cell>
          <cell r="H34">
            <v>0</v>
          </cell>
          <cell r="I34">
            <v>0</v>
          </cell>
          <cell r="J34">
            <v>102</v>
          </cell>
          <cell r="K34">
            <v>56</v>
          </cell>
          <cell r="L34">
            <v>1</v>
          </cell>
          <cell r="M34">
            <v>0</v>
          </cell>
          <cell r="N34">
            <v>103</v>
          </cell>
          <cell r="O34">
            <v>56</v>
          </cell>
          <cell r="P34">
            <v>0.99029126213592233</v>
          </cell>
          <cell r="Q34">
            <v>99.029126213592235</v>
          </cell>
        </row>
        <row r="35">
          <cell r="G35" t="str">
            <v>MH50</v>
          </cell>
          <cell r="H35">
            <v>3</v>
          </cell>
          <cell r="I35">
            <v>3</v>
          </cell>
          <cell r="J35">
            <v>301</v>
          </cell>
          <cell r="K35">
            <v>237</v>
          </cell>
          <cell r="L35">
            <v>0</v>
          </cell>
          <cell r="M35">
            <v>0</v>
          </cell>
          <cell r="N35">
            <v>304</v>
          </cell>
          <cell r="O35">
            <v>240</v>
          </cell>
          <cell r="P35">
            <v>0.99013157894736847</v>
          </cell>
          <cell r="Q35">
            <v>99.01315789473685</v>
          </cell>
        </row>
        <row r="36">
          <cell r="G36" t="str">
            <v>MH29</v>
          </cell>
          <cell r="H36">
            <v>0</v>
          </cell>
          <cell r="I36">
            <v>0</v>
          </cell>
          <cell r="J36">
            <v>182</v>
          </cell>
          <cell r="K36">
            <v>55</v>
          </cell>
          <cell r="L36">
            <v>2</v>
          </cell>
          <cell r="M36">
            <v>0</v>
          </cell>
          <cell r="N36">
            <v>184</v>
          </cell>
          <cell r="O36">
            <v>55</v>
          </cell>
          <cell r="P36">
            <v>0.98913043478260865</v>
          </cell>
          <cell r="Q36">
            <v>98.91304347826086</v>
          </cell>
        </row>
        <row r="37">
          <cell r="G37" t="str">
            <v>MH34</v>
          </cell>
          <cell r="H37">
            <v>0</v>
          </cell>
          <cell r="I37">
            <v>0</v>
          </cell>
          <cell r="J37">
            <v>707</v>
          </cell>
          <cell r="K37">
            <v>98</v>
          </cell>
          <cell r="L37">
            <v>8</v>
          </cell>
          <cell r="M37">
            <v>0</v>
          </cell>
          <cell r="N37">
            <v>715</v>
          </cell>
          <cell r="O37">
            <v>98</v>
          </cell>
          <cell r="P37">
            <v>0.98881118881118879</v>
          </cell>
          <cell r="Q37">
            <v>98.88111888111888</v>
          </cell>
        </row>
        <row r="38">
          <cell r="G38" t="str">
            <v>MH13</v>
          </cell>
          <cell r="H38">
            <v>0</v>
          </cell>
          <cell r="I38">
            <v>0</v>
          </cell>
          <cell r="J38">
            <v>2264</v>
          </cell>
          <cell r="K38">
            <v>296</v>
          </cell>
          <cell r="L38">
            <v>30</v>
          </cell>
          <cell r="M38">
            <v>4</v>
          </cell>
          <cell r="N38">
            <v>2294</v>
          </cell>
          <cell r="O38">
            <v>300</v>
          </cell>
          <cell r="P38">
            <v>0.98692240627724503</v>
          </cell>
          <cell r="Q38">
            <v>98.692240627724502</v>
          </cell>
        </row>
        <row r="39">
          <cell r="G39" t="str">
            <v>MH47</v>
          </cell>
          <cell r="H39">
            <v>0</v>
          </cell>
          <cell r="I39">
            <v>0</v>
          </cell>
          <cell r="J39">
            <v>136</v>
          </cell>
          <cell r="K39">
            <v>88</v>
          </cell>
          <cell r="L39">
            <v>2</v>
          </cell>
          <cell r="M39">
            <v>0</v>
          </cell>
          <cell r="N39">
            <v>138</v>
          </cell>
          <cell r="O39">
            <v>88</v>
          </cell>
          <cell r="P39">
            <v>0.98550724637681164</v>
          </cell>
          <cell r="Q39">
            <v>98.550724637681171</v>
          </cell>
        </row>
        <row r="40">
          <cell r="G40" t="str">
            <v>MH19</v>
          </cell>
          <cell r="H40">
            <v>0</v>
          </cell>
          <cell r="I40">
            <v>0</v>
          </cell>
          <cell r="J40">
            <v>1361</v>
          </cell>
          <cell r="K40">
            <v>668</v>
          </cell>
          <cell r="L40">
            <v>21</v>
          </cell>
          <cell r="M40">
            <v>0</v>
          </cell>
          <cell r="N40">
            <v>1382</v>
          </cell>
          <cell r="O40">
            <v>668</v>
          </cell>
          <cell r="P40">
            <v>0.98480463096960924</v>
          </cell>
          <cell r="Q40">
            <v>98.480463096960918</v>
          </cell>
        </row>
        <row r="41">
          <cell r="G41" t="str">
            <v>MH03</v>
          </cell>
          <cell r="H41">
            <v>0</v>
          </cell>
          <cell r="I41">
            <v>0</v>
          </cell>
          <cell r="J41">
            <v>516</v>
          </cell>
          <cell r="K41">
            <v>410</v>
          </cell>
          <cell r="L41">
            <v>8</v>
          </cell>
          <cell r="M41">
            <v>1</v>
          </cell>
          <cell r="N41">
            <v>524</v>
          </cell>
          <cell r="O41">
            <v>411</v>
          </cell>
          <cell r="P41">
            <v>0.98473282442748089</v>
          </cell>
          <cell r="Q41">
            <v>98.473282442748086</v>
          </cell>
        </row>
        <row r="42">
          <cell r="G42" t="str">
            <v>MH12</v>
          </cell>
          <cell r="H42">
            <v>0</v>
          </cell>
          <cell r="I42">
            <v>0</v>
          </cell>
          <cell r="J42">
            <v>1135</v>
          </cell>
          <cell r="K42">
            <v>796</v>
          </cell>
          <cell r="L42">
            <v>18</v>
          </cell>
          <cell r="M42">
            <v>2</v>
          </cell>
          <cell r="N42">
            <v>1153</v>
          </cell>
          <cell r="O42">
            <v>798</v>
          </cell>
          <cell r="P42">
            <v>0.98438855160451</v>
          </cell>
          <cell r="Q42">
            <v>98.438855160450998</v>
          </cell>
        </row>
        <row r="43">
          <cell r="G43" t="str">
            <v>MH21</v>
          </cell>
          <cell r="H43">
            <v>2</v>
          </cell>
          <cell r="I43">
            <v>2</v>
          </cell>
          <cell r="J43">
            <v>110</v>
          </cell>
          <cell r="K43">
            <v>45</v>
          </cell>
          <cell r="L43">
            <v>0</v>
          </cell>
          <cell r="M43">
            <v>0</v>
          </cell>
          <cell r="N43">
            <v>112</v>
          </cell>
          <cell r="O43">
            <v>47</v>
          </cell>
          <cell r="P43">
            <v>0.9821428571428571</v>
          </cell>
          <cell r="Q43">
            <v>98.214285714285708</v>
          </cell>
        </row>
        <row r="44">
          <cell r="G44" t="str">
            <v>MH08</v>
          </cell>
          <cell r="H44">
            <v>2</v>
          </cell>
          <cell r="I44">
            <v>2</v>
          </cell>
          <cell r="J44">
            <v>89</v>
          </cell>
          <cell r="K44">
            <v>47</v>
          </cell>
          <cell r="L44">
            <v>0</v>
          </cell>
          <cell r="M44">
            <v>0</v>
          </cell>
          <cell r="N44">
            <v>91</v>
          </cell>
          <cell r="O44">
            <v>49</v>
          </cell>
          <cell r="P44">
            <v>0.97802197802197799</v>
          </cell>
          <cell r="Q44">
            <v>97.802197802197796</v>
          </cell>
        </row>
        <row r="45">
          <cell r="G45" t="str">
            <v>MH46</v>
          </cell>
          <cell r="H45">
            <v>17</v>
          </cell>
          <cell r="I45">
            <v>16</v>
          </cell>
          <cell r="J45">
            <v>707</v>
          </cell>
          <cell r="K45">
            <v>567</v>
          </cell>
          <cell r="L45">
            <v>0</v>
          </cell>
          <cell r="M45">
            <v>0</v>
          </cell>
          <cell r="N45">
            <v>724</v>
          </cell>
          <cell r="O45">
            <v>583</v>
          </cell>
          <cell r="P45">
            <v>0.97651933701657456</v>
          </cell>
          <cell r="Q45">
            <v>97.651933701657455</v>
          </cell>
        </row>
        <row r="46">
          <cell r="G46" t="str">
            <v>MH18</v>
          </cell>
          <cell r="H46">
            <v>0</v>
          </cell>
          <cell r="I46">
            <v>0</v>
          </cell>
          <cell r="J46">
            <v>331</v>
          </cell>
          <cell r="K46">
            <v>50</v>
          </cell>
          <cell r="L46">
            <v>20</v>
          </cell>
          <cell r="M46">
            <v>1</v>
          </cell>
          <cell r="N46">
            <v>351</v>
          </cell>
          <cell r="O46">
            <v>51</v>
          </cell>
          <cell r="P46">
            <v>0.94301994301994307</v>
          </cell>
          <cell r="Q46">
            <v>94.301994301994313</v>
          </cell>
        </row>
        <row r="47">
          <cell r="G47" t="str">
            <v>MH39</v>
          </cell>
          <cell r="H47">
            <v>0</v>
          </cell>
          <cell r="I47">
            <v>0</v>
          </cell>
          <cell r="J47">
            <v>38</v>
          </cell>
          <cell r="K47">
            <v>17</v>
          </cell>
          <cell r="L47">
            <v>3</v>
          </cell>
          <cell r="M47">
            <v>3</v>
          </cell>
          <cell r="N47">
            <v>41</v>
          </cell>
          <cell r="O47">
            <v>20</v>
          </cell>
          <cell r="P47">
            <v>0.92682926829268297</v>
          </cell>
          <cell r="Q47">
            <v>92.682926829268297</v>
          </cell>
        </row>
        <row r="48">
          <cell r="G48" t="str">
            <v>MH02</v>
          </cell>
          <cell r="H48">
            <v>0</v>
          </cell>
          <cell r="I48">
            <v>0</v>
          </cell>
          <cell r="J48">
            <v>246</v>
          </cell>
          <cell r="K48">
            <v>177</v>
          </cell>
          <cell r="L48">
            <v>33</v>
          </cell>
          <cell r="M48">
            <v>33</v>
          </cell>
          <cell r="N48">
            <v>279</v>
          </cell>
          <cell r="O48">
            <v>210</v>
          </cell>
          <cell r="P48">
            <v>0.88172043010752688</v>
          </cell>
          <cell r="Q48">
            <v>88.172043010752688</v>
          </cell>
        </row>
        <row r="49">
          <cell r="G49" t="str">
            <v>MH31</v>
          </cell>
          <cell r="H49">
            <v>13</v>
          </cell>
          <cell r="I49">
            <v>13</v>
          </cell>
          <cell r="J49">
            <v>125</v>
          </cell>
          <cell r="K49">
            <v>49</v>
          </cell>
          <cell r="L49">
            <v>4</v>
          </cell>
          <cell r="M49">
            <v>1</v>
          </cell>
          <cell r="N49">
            <v>142</v>
          </cell>
          <cell r="O49">
            <v>63</v>
          </cell>
          <cell r="P49">
            <v>0.88028169014084512</v>
          </cell>
          <cell r="Q49">
            <v>88.028169014084511</v>
          </cell>
        </row>
        <row r="50">
          <cell r="G50" t="str">
            <v>MH14</v>
          </cell>
          <cell r="H50">
            <v>0</v>
          </cell>
          <cell r="I50">
            <v>0</v>
          </cell>
          <cell r="J50">
            <v>1325</v>
          </cell>
          <cell r="K50">
            <v>1066</v>
          </cell>
          <cell r="L50">
            <v>215</v>
          </cell>
          <cell r="M50">
            <v>193</v>
          </cell>
          <cell r="N50">
            <v>1540</v>
          </cell>
          <cell r="O50">
            <v>1259</v>
          </cell>
          <cell r="P50">
            <v>0.86038961038961037</v>
          </cell>
          <cell r="Q50">
            <v>86.038961038961034</v>
          </cell>
        </row>
        <row r="51">
          <cell r="G51" t="str">
            <v>MH23</v>
          </cell>
          <cell r="H51">
            <v>38</v>
          </cell>
          <cell r="I51">
            <v>35</v>
          </cell>
          <cell r="J51">
            <v>36</v>
          </cell>
          <cell r="K51">
            <v>12</v>
          </cell>
          <cell r="L51">
            <v>0</v>
          </cell>
          <cell r="M51">
            <v>0</v>
          </cell>
          <cell r="N51">
            <v>74</v>
          </cell>
          <cell r="O51">
            <v>47</v>
          </cell>
          <cell r="P51">
            <v>0.48648648648648651</v>
          </cell>
          <cell r="Q51">
            <v>48.648648648648653</v>
          </cell>
        </row>
        <row r="52">
          <cell r="G52" t="str">
            <v>MH07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</row>
      </sheetData>
      <sheetData sheetId="17" refreshError="1"/>
      <sheetData sheetId="18">
        <row r="3">
          <cell r="B3" t="str">
            <v>MH40</v>
          </cell>
          <cell r="C3">
            <v>0</v>
          </cell>
          <cell r="D3">
            <v>2853</v>
          </cell>
          <cell r="E3">
            <v>0</v>
          </cell>
          <cell r="F3">
            <v>2853</v>
          </cell>
          <cell r="G3">
            <v>0</v>
          </cell>
          <cell r="H3">
            <v>57</v>
          </cell>
          <cell r="I3">
            <v>0</v>
          </cell>
          <cell r="J3">
            <v>57</v>
          </cell>
          <cell r="K3">
            <v>1.9978969505783387E-2</v>
          </cell>
          <cell r="L3">
            <v>100</v>
          </cell>
        </row>
        <row r="4">
          <cell r="B4" t="str">
            <v>MH33</v>
          </cell>
          <cell r="C4">
            <v>0</v>
          </cell>
          <cell r="D4">
            <v>144</v>
          </cell>
          <cell r="E4">
            <v>0</v>
          </cell>
          <cell r="F4">
            <v>144</v>
          </cell>
          <cell r="G4">
            <v>0</v>
          </cell>
          <cell r="H4">
            <v>7</v>
          </cell>
          <cell r="I4">
            <v>0</v>
          </cell>
          <cell r="J4">
            <v>7</v>
          </cell>
          <cell r="K4">
            <v>4.8611111111111112E-2</v>
          </cell>
          <cell r="L4">
            <v>41.09959441189725</v>
          </cell>
        </row>
        <row r="5">
          <cell r="B5" t="str">
            <v>MH24</v>
          </cell>
          <cell r="C5">
            <v>0</v>
          </cell>
          <cell r="D5">
            <v>2759</v>
          </cell>
          <cell r="E5">
            <v>18</v>
          </cell>
          <cell r="F5">
            <v>2777</v>
          </cell>
          <cell r="G5">
            <v>0</v>
          </cell>
          <cell r="H5">
            <v>241</v>
          </cell>
          <cell r="I5">
            <v>0</v>
          </cell>
          <cell r="J5">
            <v>241</v>
          </cell>
          <cell r="K5">
            <v>8.6784299603889087E-2</v>
          </cell>
          <cell r="L5">
            <v>23.021410090274053</v>
          </cell>
        </row>
        <row r="6">
          <cell r="B6" t="str">
            <v>MH13</v>
          </cell>
          <cell r="C6">
            <v>0</v>
          </cell>
          <cell r="D6">
            <v>2264</v>
          </cell>
          <cell r="E6">
            <v>30</v>
          </cell>
          <cell r="F6">
            <v>2294</v>
          </cell>
          <cell r="G6">
            <v>0</v>
          </cell>
          <cell r="H6">
            <v>296</v>
          </cell>
          <cell r="I6">
            <v>4</v>
          </cell>
          <cell r="J6">
            <v>300</v>
          </cell>
          <cell r="K6">
            <v>0.13077593722755013</v>
          </cell>
          <cell r="L6">
            <v>15.277252015422363</v>
          </cell>
        </row>
        <row r="7">
          <cell r="B7" t="str">
            <v>MH26</v>
          </cell>
          <cell r="C7">
            <v>3</v>
          </cell>
          <cell r="D7">
            <v>908</v>
          </cell>
          <cell r="E7">
            <v>4</v>
          </cell>
          <cell r="F7">
            <v>915</v>
          </cell>
          <cell r="G7">
            <v>3</v>
          </cell>
          <cell r="H7">
            <v>122</v>
          </cell>
          <cell r="I7">
            <v>0</v>
          </cell>
          <cell r="J7">
            <v>125</v>
          </cell>
          <cell r="K7">
            <v>0.13661202185792351</v>
          </cell>
          <cell r="L7">
            <v>14.624605678233438</v>
          </cell>
        </row>
        <row r="8">
          <cell r="B8" t="str">
            <v>MH34</v>
          </cell>
          <cell r="C8">
            <v>0</v>
          </cell>
          <cell r="D8">
            <v>707</v>
          </cell>
          <cell r="E8">
            <v>8</v>
          </cell>
          <cell r="F8">
            <v>715</v>
          </cell>
          <cell r="G8">
            <v>0</v>
          </cell>
          <cell r="H8">
            <v>98</v>
          </cell>
          <cell r="I8">
            <v>0</v>
          </cell>
          <cell r="J8">
            <v>98</v>
          </cell>
          <cell r="K8">
            <v>0.13706293706293707</v>
          </cell>
          <cell r="L8">
            <v>14.576493057790941</v>
          </cell>
        </row>
        <row r="9">
          <cell r="B9" t="str">
            <v>MH18</v>
          </cell>
          <cell r="C9">
            <v>0</v>
          </cell>
          <cell r="D9">
            <v>331</v>
          </cell>
          <cell r="E9">
            <v>20</v>
          </cell>
          <cell r="F9">
            <v>351</v>
          </cell>
          <cell r="G9">
            <v>0</v>
          </cell>
          <cell r="H9">
            <v>50</v>
          </cell>
          <cell r="I9">
            <v>1</v>
          </cell>
          <cell r="J9">
            <v>51</v>
          </cell>
          <cell r="K9">
            <v>0.14529914529914531</v>
          </cell>
          <cell r="L9">
            <v>13.750231953980329</v>
          </cell>
        </row>
        <row r="10">
          <cell r="B10" t="str">
            <v>MH44</v>
          </cell>
          <cell r="C10">
            <v>0</v>
          </cell>
          <cell r="D10">
            <v>27</v>
          </cell>
          <cell r="E10">
            <v>0</v>
          </cell>
          <cell r="F10">
            <v>27</v>
          </cell>
          <cell r="G10">
            <v>0</v>
          </cell>
          <cell r="H10">
            <v>4</v>
          </cell>
          <cell r="I10">
            <v>0</v>
          </cell>
          <cell r="J10">
            <v>4</v>
          </cell>
          <cell r="K10">
            <v>0.14814814814814814</v>
          </cell>
          <cell r="L10">
            <v>13.485804416403788</v>
          </cell>
        </row>
        <row r="11">
          <cell r="B11" t="str">
            <v>MH17</v>
          </cell>
          <cell r="C11">
            <v>0</v>
          </cell>
          <cell r="D11">
            <v>37</v>
          </cell>
          <cell r="E11">
            <v>0</v>
          </cell>
          <cell r="F11">
            <v>37</v>
          </cell>
          <cell r="G11">
            <v>0</v>
          </cell>
          <cell r="H11">
            <v>6</v>
          </cell>
          <cell r="I11">
            <v>0</v>
          </cell>
          <cell r="J11">
            <v>6</v>
          </cell>
          <cell r="K11">
            <v>0.16216216216216217</v>
          </cell>
          <cell r="L11">
            <v>12.320364528566422</v>
          </cell>
        </row>
        <row r="12">
          <cell r="B12" t="str">
            <v>MH49</v>
          </cell>
          <cell r="C12">
            <v>0</v>
          </cell>
          <cell r="D12">
            <v>59</v>
          </cell>
          <cell r="E12">
            <v>0</v>
          </cell>
          <cell r="F12">
            <v>59</v>
          </cell>
          <cell r="G12">
            <v>0</v>
          </cell>
          <cell r="H12">
            <v>11</v>
          </cell>
          <cell r="I12">
            <v>0</v>
          </cell>
          <cell r="J12">
            <v>11</v>
          </cell>
          <cell r="K12">
            <v>0.1864406779661017</v>
          </cell>
          <cell r="L12">
            <v>10.71599273492018</v>
          </cell>
        </row>
        <row r="13">
          <cell r="B13" t="str">
            <v>MH32</v>
          </cell>
          <cell r="C13">
            <v>0</v>
          </cell>
          <cell r="D13">
            <v>89</v>
          </cell>
          <cell r="E13">
            <v>0</v>
          </cell>
          <cell r="F13">
            <v>89</v>
          </cell>
          <cell r="G13">
            <v>0</v>
          </cell>
          <cell r="H13">
            <v>20</v>
          </cell>
          <cell r="I13">
            <v>0</v>
          </cell>
          <cell r="J13">
            <v>20</v>
          </cell>
          <cell r="K13">
            <v>0.2247191011235955</v>
          </cell>
          <cell r="L13">
            <v>8.8906414300736074</v>
          </cell>
        </row>
        <row r="14">
          <cell r="B14" t="str">
            <v>MH09</v>
          </cell>
          <cell r="C14">
            <v>9</v>
          </cell>
          <cell r="D14">
            <v>3568</v>
          </cell>
          <cell r="E14">
            <v>24</v>
          </cell>
          <cell r="F14">
            <v>3601</v>
          </cell>
          <cell r="G14">
            <v>9</v>
          </cell>
          <cell r="H14">
            <v>965</v>
          </cell>
          <cell r="I14">
            <v>2</v>
          </cell>
          <cell r="J14">
            <v>976</v>
          </cell>
          <cell r="K14">
            <v>0.27103582338239379</v>
          </cell>
          <cell r="L14">
            <v>7.3713390563858576</v>
          </cell>
        </row>
        <row r="15">
          <cell r="B15" t="str">
            <v>MH35</v>
          </cell>
          <cell r="C15">
            <v>0</v>
          </cell>
          <cell r="D15">
            <v>75</v>
          </cell>
          <cell r="E15">
            <v>0</v>
          </cell>
          <cell r="F15">
            <v>75</v>
          </cell>
          <cell r="G15">
            <v>0</v>
          </cell>
          <cell r="H15">
            <v>22</v>
          </cell>
          <cell r="I15">
            <v>0</v>
          </cell>
          <cell r="J15">
            <v>22</v>
          </cell>
          <cell r="K15">
            <v>0.29333333333333333</v>
          </cell>
          <cell r="L15">
            <v>6.8110123315170634</v>
          </cell>
        </row>
        <row r="16">
          <cell r="B16" t="str">
            <v>MH29</v>
          </cell>
          <cell r="C16">
            <v>0</v>
          </cell>
          <cell r="D16">
            <v>182</v>
          </cell>
          <cell r="E16">
            <v>2</v>
          </cell>
          <cell r="F16">
            <v>184</v>
          </cell>
          <cell r="G16">
            <v>0</v>
          </cell>
          <cell r="H16">
            <v>55</v>
          </cell>
          <cell r="I16">
            <v>0</v>
          </cell>
          <cell r="J16">
            <v>55</v>
          </cell>
          <cell r="K16">
            <v>0.29891304347826086</v>
          </cell>
          <cell r="L16">
            <v>6.6838734346620781</v>
          </cell>
        </row>
        <row r="17">
          <cell r="B17" t="str">
            <v>MH15</v>
          </cell>
          <cell r="C17">
            <v>0</v>
          </cell>
          <cell r="D17">
            <v>1345</v>
          </cell>
          <cell r="E17">
            <v>0</v>
          </cell>
          <cell r="F17">
            <v>1345</v>
          </cell>
          <cell r="G17">
            <v>0</v>
          </cell>
          <cell r="H17">
            <v>468</v>
          </cell>
          <cell r="I17">
            <v>0</v>
          </cell>
          <cell r="J17">
            <v>468</v>
          </cell>
          <cell r="K17">
            <v>0.34795539033457251</v>
          </cell>
          <cell r="L17">
            <v>5.7418192276236439</v>
          </cell>
        </row>
        <row r="18">
          <cell r="B18" t="str">
            <v>MH36</v>
          </cell>
          <cell r="C18">
            <v>0</v>
          </cell>
          <cell r="D18">
            <v>57</v>
          </cell>
          <cell r="E18">
            <v>0</v>
          </cell>
          <cell r="F18">
            <v>57</v>
          </cell>
          <cell r="G18">
            <v>0</v>
          </cell>
          <cell r="H18">
            <v>20</v>
          </cell>
          <cell r="I18">
            <v>0</v>
          </cell>
          <cell r="J18">
            <v>20</v>
          </cell>
          <cell r="K18">
            <v>0.35087719298245612</v>
          </cell>
          <cell r="L18">
            <v>5.6940063091482651</v>
          </cell>
        </row>
        <row r="19">
          <cell r="B19" t="str">
            <v>MH37</v>
          </cell>
          <cell r="C19">
            <v>0</v>
          </cell>
          <cell r="D19">
            <v>64</v>
          </cell>
          <cell r="E19">
            <v>0</v>
          </cell>
          <cell r="F19">
            <v>64</v>
          </cell>
          <cell r="G19">
            <v>0</v>
          </cell>
          <cell r="H19">
            <v>25</v>
          </cell>
          <cell r="I19">
            <v>0</v>
          </cell>
          <cell r="J19">
            <v>25</v>
          </cell>
          <cell r="K19">
            <v>0.390625</v>
          </cell>
          <cell r="L19">
            <v>5.114616193480547</v>
          </cell>
        </row>
        <row r="20">
          <cell r="B20" t="str">
            <v>MH21</v>
          </cell>
          <cell r="C20">
            <v>2</v>
          </cell>
          <cell r="D20">
            <v>110</v>
          </cell>
          <cell r="E20">
            <v>0</v>
          </cell>
          <cell r="F20">
            <v>112</v>
          </cell>
          <cell r="G20">
            <v>2</v>
          </cell>
          <cell r="H20">
            <v>45</v>
          </cell>
          <cell r="I20">
            <v>0</v>
          </cell>
          <cell r="J20">
            <v>47</v>
          </cell>
          <cell r="K20">
            <v>0.41964285714285715</v>
          </cell>
          <cell r="L20">
            <v>4.7609459247824244</v>
          </cell>
        </row>
        <row r="21">
          <cell r="B21" t="str">
            <v>MH41</v>
          </cell>
          <cell r="C21">
            <v>0</v>
          </cell>
          <cell r="D21">
            <v>152</v>
          </cell>
          <cell r="E21">
            <v>0</v>
          </cell>
          <cell r="F21">
            <v>152</v>
          </cell>
          <cell r="G21">
            <v>0</v>
          </cell>
          <cell r="H21">
            <v>66</v>
          </cell>
          <cell r="I21">
            <v>0</v>
          </cell>
          <cell r="J21">
            <v>66</v>
          </cell>
          <cell r="K21">
            <v>0.43421052631578949</v>
          </cell>
          <cell r="L21">
            <v>4.6012172195137495</v>
          </cell>
        </row>
        <row r="22">
          <cell r="B22" t="str">
            <v>MH31</v>
          </cell>
          <cell r="C22">
            <v>13</v>
          </cell>
          <cell r="D22">
            <v>125</v>
          </cell>
          <cell r="E22">
            <v>4</v>
          </cell>
          <cell r="F22">
            <v>142</v>
          </cell>
          <cell r="G22">
            <v>13</v>
          </cell>
          <cell r="H22">
            <v>49</v>
          </cell>
          <cell r="I22">
            <v>1</v>
          </cell>
          <cell r="J22">
            <v>63</v>
          </cell>
          <cell r="K22">
            <v>0.44366197183098594</v>
          </cell>
          <cell r="L22">
            <v>4.5031963013035563</v>
          </cell>
        </row>
        <row r="23">
          <cell r="B23" t="str">
            <v>MH10</v>
          </cell>
          <cell r="C23">
            <v>0</v>
          </cell>
          <cell r="D23">
            <v>279</v>
          </cell>
          <cell r="E23">
            <v>1</v>
          </cell>
          <cell r="F23">
            <v>280</v>
          </cell>
          <cell r="G23">
            <v>0</v>
          </cell>
          <cell r="H23">
            <v>126</v>
          </cell>
          <cell r="I23">
            <v>0</v>
          </cell>
          <cell r="J23">
            <v>126</v>
          </cell>
          <cell r="K23">
            <v>0.45</v>
          </cell>
          <cell r="L23">
            <v>4.4397710012851972</v>
          </cell>
        </row>
        <row r="24">
          <cell r="B24" t="str">
            <v>MH19</v>
          </cell>
          <cell r="C24">
            <v>0</v>
          </cell>
          <cell r="D24">
            <v>1361</v>
          </cell>
          <cell r="E24">
            <v>21</v>
          </cell>
          <cell r="F24">
            <v>1382</v>
          </cell>
          <cell r="G24">
            <v>0</v>
          </cell>
          <cell r="H24">
            <v>668</v>
          </cell>
          <cell r="I24">
            <v>0</v>
          </cell>
          <cell r="J24">
            <v>668</v>
          </cell>
          <cell r="K24">
            <v>0.4833574529667149</v>
          </cell>
          <cell r="L24">
            <v>4.1333736312863234</v>
          </cell>
        </row>
        <row r="25">
          <cell r="B25" t="str">
            <v>MH39</v>
          </cell>
          <cell r="C25">
            <v>0</v>
          </cell>
          <cell r="D25">
            <v>38</v>
          </cell>
          <cell r="E25">
            <v>3</v>
          </cell>
          <cell r="F25">
            <v>41</v>
          </cell>
          <cell r="G25">
            <v>0</v>
          </cell>
          <cell r="H25">
            <v>17</v>
          </cell>
          <cell r="I25">
            <v>3</v>
          </cell>
          <cell r="J25">
            <v>20</v>
          </cell>
          <cell r="K25">
            <v>0.48780487804878048</v>
          </cell>
          <cell r="L25">
            <v>4.0956887486855944</v>
          </cell>
        </row>
        <row r="26">
          <cell r="B26" t="str">
            <v>MH08</v>
          </cell>
          <cell r="C26">
            <v>2</v>
          </cell>
          <cell r="D26">
            <v>89</v>
          </cell>
          <cell r="E26">
            <v>0</v>
          </cell>
          <cell r="F26">
            <v>91</v>
          </cell>
          <cell r="G26">
            <v>2</v>
          </cell>
          <cell r="H26">
            <v>47</v>
          </cell>
          <cell r="I26">
            <v>0</v>
          </cell>
          <cell r="J26">
            <v>49</v>
          </cell>
          <cell r="K26">
            <v>0.53846153846153844</v>
          </cell>
          <cell r="L26">
            <v>3.7103800510740572</v>
          </cell>
        </row>
        <row r="27">
          <cell r="B27" t="str">
            <v>MH27</v>
          </cell>
          <cell r="C27">
            <v>1</v>
          </cell>
          <cell r="D27">
            <v>240</v>
          </cell>
          <cell r="E27">
            <v>0</v>
          </cell>
          <cell r="F27">
            <v>241</v>
          </cell>
          <cell r="G27">
            <v>1</v>
          </cell>
          <cell r="H27">
            <v>129</v>
          </cell>
          <cell r="I27">
            <v>0</v>
          </cell>
          <cell r="J27">
            <v>130</v>
          </cell>
          <cell r="K27">
            <v>0.53941908713692943</v>
          </cell>
          <cell r="L27">
            <v>3.7037935776106123</v>
          </cell>
        </row>
        <row r="28">
          <cell r="B28" t="str">
            <v>MH01</v>
          </cell>
          <cell r="C28">
            <v>0</v>
          </cell>
          <cell r="D28">
            <v>102</v>
          </cell>
          <cell r="E28">
            <v>1</v>
          </cell>
          <cell r="F28">
            <v>103</v>
          </cell>
          <cell r="G28">
            <v>0</v>
          </cell>
          <cell r="H28">
            <v>56</v>
          </cell>
          <cell r="I28">
            <v>0</v>
          </cell>
          <cell r="J28">
            <v>56</v>
          </cell>
          <cell r="K28">
            <v>0.5436893203883495</v>
          </cell>
          <cell r="L28">
            <v>3.6747033198137302</v>
          </cell>
        </row>
        <row r="29">
          <cell r="B29" t="str">
            <v>MH42</v>
          </cell>
          <cell r="C29">
            <v>0</v>
          </cell>
          <cell r="D29">
            <v>18</v>
          </cell>
          <cell r="E29">
            <v>0</v>
          </cell>
          <cell r="F29">
            <v>18</v>
          </cell>
          <cell r="G29">
            <v>0</v>
          </cell>
          <cell r="H29">
            <v>10</v>
          </cell>
          <cell r="I29">
            <v>0</v>
          </cell>
          <cell r="J29">
            <v>10</v>
          </cell>
          <cell r="K29">
            <v>0.55555555555555558</v>
          </cell>
          <cell r="L29">
            <v>3.5962145110410093</v>
          </cell>
        </row>
        <row r="30">
          <cell r="B30" t="str">
            <v>MH20</v>
          </cell>
          <cell r="C30">
            <v>0</v>
          </cell>
          <cell r="D30">
            <v>365</v>
          </cell>
          <cell r="E30">
            <v>0</v>
          </cell>
          <cell r="F30">
            <v>365</v>
          </cell>
          <cell r="G30">
            <v>0</v>
          </cell>
          <cell r="H30">
            <v>204</v>
          </cell>
          <cell r="I30">
            <v>0</v>
          </cell>
          <cell r="J30">
            <v>204</v>
          </cell>
          <cell r="K30">
            <v>0.55890410958904113</v>
          </cell>
          <cell r="L30">
            <v>3.5746685635347726</v>
          </cell>
        </row>
        <row r="31">
          <cell r="B31" t="str">
            <v>MH28</v>
          </cell>
          <cell r="C31">
            <v>0</v>
          </cell>
          <cell r="D31">
            <v>151</v>
          </cell>
          <cell r="E31">
            <v>0</v>
          </cell>
          <cell r="F31">
            <v>151</v>
          </cell>
          <cell r="G31">
            <v>0</v>
          </cell>
          <cell r="H31">
            <v>88</v>
          </cell>
          <cell r="I31">
            <v>0</v>
          </cell>
          <cell r="J31">
            <v>88</v>
          </cell>
          <cell r="K31">
            <v>0.58278145695364236</v>
          </cell>
          <cell r="L31">
            <v>3.4282095401969221</v>
          </cell>
        </row>
        <row r="32">
          <cell r="B32" t="str">
            <v>MH38</v>
          </cell>
          <cell r="C32">
            <v>1</v>
          </cell>
          <cell r="D32">
            <v>237</v>
          </cell>
          <cell r="E32">
            <v>0</v>
          </cell>
          <cell r="F32">
            <v>238</v>
          </cell>
          <cell r="G32">
            <v>1</v>
          </cell>
          <cell r="H32">
            <v>143</v>
          </cell>
          <cell r="I32">
            <v>0</v>
          </cell>
          <cell r="J32">
            <v>144</v>
          </cell>
          <cell r="K32">
            <v>0.60504201680672265</v>
          </cell>
          <cell r="L32">
            <v>3.3020796822058656</v>
          </cell>
        </row>
        <row r="33">
          <cell r="B33" t="str">
            <v>MH16</v>
          </cell>
          <cell r="C33">
            <v>1</v>
          </cell>
          <cell r="D33">
            <v>251</v>
          </cell>
          <cell r="E33">
            <v>1</v>
          </cell>
          <cell r="F33">
            <v>253</v>
          </cell>
          <cell r="G33">
            <v>1</v>
          </cell>
          <cell r="H33">
            <v>155</v>
          </cell>
          <cell r="I33">
            <v>0</v>
          </cell>
          <cell r="J33">
            <v>156</v>
          </cell>
          <cell r="K33">
            <v>0.61660079051383399</v>
          </cell>
          <cell r="L33">
            <v>3.2401790288225625</v>
          </cell>
        </row>
        <row r="34">
          <cell r="B34" t="str">
            <v>MH48</v>
          </cell>
          <cell r="C34">
            <v>0</v>
          </cell>
          <cell r="D34">
            <v>272</v>
          </cell>
          <cell r="E34">
            <v>1</v>
          </cell>
          <cell r="F34">
            <v>273</v>
          </cell>
          <cell r="G34">
            <v>0</v>
          </cell>
          <cell r="H34">
            <v>172</v>
          </cell>
          <cell r="I34">
            <v>0</v>
          </cell>
          <cell r="J34">
            <v>172</v>
          </cell>
          <cell r="K34">
            <v>0.63003663003663002</v>
          </cell>
          <cell r="L34">
            <v>3.1710806250458514</v>
          </cell>
        </row>
        <row r="35">
          <cell r="B35" t="str">
            <v>MH04</v>
          </cell>
          <cell r="C35">
            <v>1</v>
          </cell>
          <cell r="D35">
            <v>2055</v>
          </cell>
          <cell r="E35">
            <v>13</v>
          </cell>
          <cell r="F35">
            <v>2069</v>
          </cell>
          <cell r="G35">
            <v>1</v>
          </cell>
          <cell r="H35">
            <v>1310</v>
          </cell>
          <cell r="I35">
            <v>3</v>
          </cell>
          <cell r="J35">
            <v>1314</v>
          </cell>
          <cell r="K35">
            <v>0.63508941517641371</v>
          </cell>
          <cell r="L35">
            <v>3.1458514389243399</v>
          </cell>
        </row>
        <row r="36">
          <cell r="B36" t="str">
            <v>MH23</v>
          </cell>
          <cell r="C36">
            <v>38</v>
          </cell>
          <cell r="D36">
            <v>36</v>
          </cell>
          <cell r="E36">
            <v>0</v>
          </cell>
          <cell r="F36">
            <v>74</v>
          </cell>
          <cell r="G36">
            <v>35</v>
          </cell>
          <cell r="H36">
            <v>12</v>
          </cell>
          <cell r="I36">
            <v>0</v>
          </cell>
          <cell r="J36">
            <v>47</v>
          </cell>
          <cell r="K36">
            <v>0.63513513513513509</v>
          </cell>
          <cell r="L36">
            <v>3.1456249860169585</v>
          </cell>
        </row>
        <row r="37">
          <cell r="B37" t="str">
            <v>MH47</v>
          </cell>
          <cell r="C37">
            <v>0</v>
          </cell>
          <cell r="D37">
            <v>136</v>
          </cell>
          <cell r="E37">
            <v>2</v>
          </cell>
          <cell r="F37">
            <v>138</v>
          </cell>
          <cell r="G37">
            <v>0</v>
          </cell>
          <cell r="H37">
            <v>88</v>
          </cell>
          <cell r="I37">
            <v>0</v>
          </cell>
          <cell r="J37">
            <v>88</v>
          </cell>
          <cell r="K37">
            <v>0.6376811594202898</v>
          </cell>
          <cell r="L37">
            <v>3.1330656724978492</v>
          </cell>
        </row>
        <row r="38">
          <cell r="B38" t="str">
            <v>MH05</v>
          </cell>
          <cell r="C38">
            <v>0</v>
          </cell>
          <cell r="D38">
            <v>389</v>
          </cell>
          <cell r="E38">
            <v>0</v>
          </cell>
          <cell r="F38">
            <v>389</v>
          </cell>
          <cell r="G38">
            <v>0</v>
          </cell>
          <cell r="H38">
            <v>249</v>
          </cell>
          <cell r="I38">
            <v>0</v>
          </cell>
          <cell r="J38">
            <v>249</v>
          </cell>
          <cell r="K38">
            <v>0.64010282776349614</v>
          </cell>
          <cell r="L38">
            <v>3.1212125051203765</v>
          </cell>
        </row>
        <row r="39">
          <cell r="B39" t="str">
            <v>MH45</v>
          </cell>
          <cell r="C39">
            <v>0</v>
          </cell>
          <cell r="D39">
            <v>99</v>
          </cell>
          <cell r="E39">
            <v>0</v>
          </cell>
          <cell r="F39">
            <v>99</v>
          </cell>
          <cell r="G39">
            <v>0</v>
          </cell>
          <cell r="H39">
            <v>66</v>
          </cell>
          <cell r="I39">
            <v>0</v>
          </cell>
          <cell r="J39">
            <v>66</v>
          </cell>
          <cell r="K39">
            <v>0.66666666666666663</v>
          </cell>
          <cell r="L39">
            <v>2.9968454258675079</v>
          </cell>
        </row>
        <row r="40">
          <cell r="B40" t="str">
            <v>MH43</v>
          </cell>
          <cell r="C40">
            <v>0</v>
          </cell>
          <cell r="D40">
            <v>411</v>
          </cell>
          <cell r="E40">
            <v>0</v>
          </cell>
          <cell r="F40">
            <v>411</v>
          </cell>
          <cell r="G40">
            <v>0</v>
          </cell>
          <cell r="H40">
            <v>278</v>
          </cell>
          <cell r="I40">
            <v>0</v>
          </cell>
          <cell r="J40">
            <v>278</v>
          </cell>
          <cell r="K40">
            <v>0.67639902676399022</v>
          </cell>
          <cell r="L40">
            <v>2.9537253477974721</v>
          </cell>
        </row>
        <row r="41">
          <cell r="B41" t="str">
            <v>MH12</v>
          </cell>
          <cell r="C41">
            <v>0</v>
          </cell>
          <cell r="D41">
            <v>1135</v>
          </cell>
          <cell r="E41">
            <v>18</v>
          </cell>
          <cell r="F41">
            <v>1153</v>
          </cell>
          <cell r="G41">
            <v>0</v>
          </cell>
          <cell r="H41">
            <v>796</v>
          </cell>
          <cell r="I41">
            <v>2</v>
          </cell>
          <cell r="J41">
            <v>798</v>
          </cell>
          <cell r="K41">
            <v>0.69210754553339116</v>
          </cell>
          <cell r="L41">
            <v>2.8866856942566721</v>
          </cell>
        </row>
        <row r="42">
          <cell r="B42" t="str">
            <v>MH30</v>
          </cell>
          <cell r="C42">
            <v>0</v>
          </cell>
          <cell r="D42">
            <v>155</v>
          </cell>
          <cell r="E42">
            <v>1</v>
          </cell>
          <cell r="F42">
            <v>156</v>
          </cell>
          <cell r="G42">
            <v>0</v>
          </cell>
          <cell r="H42">
            <v>109</v>
          </cell>
          <cell r="I42">
            <v>0</v>
          </cell>
          <cell r="J42">
            <v>109</v>
          </cell>
          <cell r="K42">
            <v>0.69871794871794868</v>
          </cell>
          <cell r="L42">
            <v>2.859375452203861</v>
          </cell>
        </row>
        <row r="43">
          <cell r="B43" t="str">
            <v>MH22</v>
          </cell>
          <cell r="C43">
            <v>0</v>
          </cell>
          <cell r="D43">
            <v>65</v>
          </cell>
          <cell r="E43">
            <v>0</v>
          </cell>
          <cell r="F43">
            <v>65</v>
          </cell>
          <cell r="G43">
            <v>0</v>
          </cell>
          <cell r="H43">
            <v>46</v>
          </cell>
          <cell r="I43">
            <v>0</v>
          </cell>
          <cell r="J43">
            <v>46</v>
          </cell>
          <cell r="K43">
            <v>0.70769230769230773</v>
          </cell>
          <cell r="L43">
            <v>2.8231152562520001</v>
          </cell>
        </row>
        <row r="44">
          <cell r="B44" t="str">
            <v>MH11</v>
          </cell>
          <cell r="C44">
            <v>2</v>
          </cell>
          <cell r="D44">
            <v>554</v>
          </cell>
          <cell r="E44">
            <v>0</v>
          </cell>
          <cell r="F44">
            <v>556</v>
          </cell>
          <cell r="G44">
            <v>2</v>
          </cell>
          <cell r="H44">
            <v>395</v>
          </cell>
          <cell r="I44">
            <v>0</v>
          </cell>
          <cell r="J44">
            <v>397</v>
          </cell>
          <cell r="K44">
            <v>0.71402877697841727</v>
          </cell>
          <cell r="L44">
            <v>2.7980622280139955</v>
          </cell>
        </row>
        <row r="45">
          <cell r="B45" t="str">
            <v>MH06</v>
          </cell>
          <cell r="C45">
            <v>0</v>
          </cell>
          <cell r="D45">
            <v>402</v>
          </cell>
          <cell r="E45">
            <v>0</v>
          </cell>
          <cell r="F45">
            <v>402</v>
          </cell>
          <cell r="G45">
            <v>0</v>
          </cell>
          <cell r="H45">
            <v>294</v>
          </cell>
          <cell r="I45">
            <v>0</v>
          </cell>
          <cell r="J45">
            <v>294</v>
          </cell>
          <cell r="K45">
            <v>0.73134328358208955</v>
          </cell>
          <cell r="L45">
            <v>2.7318182793622183</v>
          </cell>
        </row>
        <row r="46">
          <cell r="B46" t="str">
            <v>MH02</v>
          </cell>
          <cell r="C46">
            <v>0</v>
          </cell>
          <cell r="D46">
            <v>246</v>
          </cell>
          <cell r="E46">
            <v>33</v>
          </cell>
          <cell r="F46">
            <v>279</v>
          </cell>
          <cell r="G46">
            <v>0</v>
          </cell>
          <cell r="H46">
            <v>177</v>
          </cell>
          <cell r="I46">
            <v>33</v>
          </cell>
          <cell r="J46">
            <v>210</v>
          </cell>
          <cell r="K46">
            <v>0.75268817204301075</v>
          </cell>
          <cell r="L46">
            <v>2.6543488057683642</v>
          </cell>
        </row>
        <row r="47">
          <cell r="B47" t="str">
            <v>MH03</v>
          </cell>
          <cell r="C47">
            <v>0</v>
          </cell>
          <cell r="D47">
            <v>516</v>
          </cell>
          <cell r="E47">
            <v>8</v>
          </cell>
          <cell r="F47">
            <v>524</v>
          </cell>
          <cell r="G47">
            <v>0</v>
          </cell>
          <cell r="H47">
            <v>410</v>
          </cell>
          <cell r="I47">
            <v>1</v>
          </cell>
          <cell r="J47">
            <v>411</v>
          </cell>
          <cell r="K47">
            <v>0.78435114503816794</v>
          </cell>
          <cell r="L47">
            <v>2.5471970854088797</v>
          </cell>
        </row>
        <row r="48">
          <cell r="B48" t="str">
            <v>MH25</v>
          </cell>
          <cell r="C48">
            <v>0</v>
          </cell>
          <cell r="D48">
            <v>241</v>
          </cell>
          <cell r="E48">
            <v>2</v>
          </cell>
          <cell r="F48">
            <v>243</v>
          </cell>
          <cell r="G48">
            <v>0</v>
          </cell>
          <cell r="H48">
            <v>191</v>
          </cell>
          <cell r="I48">
            <v>0</v>
          </cell>
          <cell r="J48">
            <v>191</v>
          </cell>
          <cell r="K48">
            <v>0.78600823045267487</v>
          </cell>
          <cell r="L48">
            <v>2.541827010421656</v>
          </cell>
        </row>
        <row r="49">
          <cell r="B49" t="str">
            <v>MH50</v>
          </cell>
          <cell r="C49">
            <v>3</v>
          </cell>
          <cell r="D49">
            <v>301</v>
          </cell>
          <cell r="E49">
            <v>0</v>
          </cell>
          <cell r="F49">
            <v>304</v>
          </cell>
          <cell r="G49">
            <v>3</v>
          </cell>
          <cell r="H49">
            <v>237</v>
          </cell>
          <cell r="I49">
            <v>0</v>
          </cell>
          <cell r="J49">
            <v>240</v>
          </cell>
          <cell r="K49">
            <v>0.78947368421052633</v>
          </cell>
          <cell r="L49">
            <v>2.5306694707325623</v>
          </cell>
        </row>
        <row r="50">
          <cell r="B50" t="str">
            <v>MH46</v>
          </cell>
          <cell r="C50">
            <v>17</v>
          </cell>
          <cell r="D50">
            <v>707</v>
          </cell>
          <cell r="E50">
            <v>0</v>
          </cell>
          <cell r="F50">
            <v>724</v>
          </cell>
          <cell r="G50">
            <v>16</v>
          </cell>
          <cell r="H50">
            <v>567</v>
          </cell>
          <cell r="I50">
            <v>0</v>
          </cell>
          <cell r="J50">
            <v>583</v>
          </cell>
          <cell r="K50">
            <v>0.80524861878453036</v>
          </cell>
          <cell r="L50">
            <v>2.481093297116153</v>
          </cell>
        </row>
        <row r="51">
          <cell r="B51" t="str">
            <v>MH14</v>
          </cell>
          <cell r="C51">
            <v>0</v>
          </cell>
          <cell r="D51">
            <v>1325</v>
          </cell>
          <cell r="E51">
            <v>215</v>
          </cell>
          <cell r="F51">
            <v>1540</v>
          </cell>
          <cell r="G51">
            <v>0</v>
          </cell>
          <cell r="H51">
            <v>1066</v>
          </cell>
          <cell r="I51">
            <v>193</v>
          </cell>
          <cell r="J51">
            <v>1259</v>
          </cell>
          <cell r="K51">
            <v>0.81753246753246755</v>
          </cell>
          <cell r="L51">
            <v>2.4438135852983649</v>
          </cell>
        </row>
        <row r="52">
          <cell r="B52" t="str">
            <v>MH07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55E74-D236-4840-B4AB-D9A328F2404F}">
  <dimension ref="A1:M52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1" max="1" width="20.5" customWidth="1"/>
    <col min="2" max="2" width="13" customWidth="1"/>
  </cols>
  <sheetData>
    <row r="1" spans="1:13" x14ac:dyDescent="0.2">
      <c r="A1" s="13"/>
      <c r="B1" s="42" t="s">
        <v>239</v>
      </c>
      <c r="C1" s="42"/>
      <c r="D1" s="42" t="s">
        <v>240</v>
      </c>
      <c r="E1" s="42"/>
      <c r="F1" s="42" t="s">
        <v>241</v>
      </c>
      <c r="G1" s="42"/>
      <c r="H1" s="42" t="s">
        <v>242</v>
      </c>
      <c r="I1" s="42"/>
      <c r="J1" s="13"/>
      <c r="K1" s="13"/>
      <c r="L1" s="13"/>
    </row>
    <row r="2" spans="1:13" ht="48" x14ac:dyDescent="0.2">
      <c r="A2" s="13" t="s">
        <v>297</v>
      </c>
      <c r="B2" s="34" t="s">
        <v>243</v>
      </c>
      <c r="C2" s="34" t="s">
        <v>244</v>
      </c>
      <c r="D2" s="34" t="s">
        <v>243</v>
      </c>
      <c r="E2" s="34" t="s">
        <v>244</v>
      </c>
      <c r="F2" s="34" t="s">
        <v>243</v>
      </c>
      <c r="G2" s="34" t="s">
        <v>244</v>
      </c>
      <c r="H2" s="34" t="s">
        <v>243</v>
      </c>
      <c r="I2" s="34" t="s">
        <v>244</v>
      </c>
      <c r="J2" s="34" t="s">
        <v>299</v>
      </c>
      <c r="K2" s="34" t="s">
        <v>400</v>
      </c>
      <c r="L2" s="34" t="s">
        <v>401</v>
      </c>
    </row>
    <row r="3" spans="1:13" x14ac:dyDescent="0.2">
      <c r="A3" s="13" t="s">
        <v>279</v>
      </c>
      <c r="B3" s="33">
        <v>0</v>
      </c>
      <c r="C3" s="33">
        <v>0</v>
      </c>
      <c r="D3" s="33">
        <v>143</v>
      </c>
      <c r="E3" s="33">
        <v>21</v>
      </c>
      <c r="F3" s="33">
        <v>0</v>
      </c>
      <c r="G3" s="33">
        <v>0</v>
      </c>
      <c r="H3" s="13">
        <f t="shared" ref="H3:H34" si="0">B3+D3+F3</f>
        <v>143</v>
      </c>
      <c r="I3" s="13">
        <f t="shared" ref="I3:I34" si="1">C3+E3+G3</f>
        <v>21</v>
      </c>
      <c r="J3" s="21">
        <f t="shared" ref="J3:J50" si="2">(F3/H3)</f>
        <v>0</v>
      </c>
      <c r="K3" s="21">
        <f t="shared" ref="K3:K50" si="3">I3/H3</f>
        <v>0.14685314685314685</v>
      </c>
      <c r="L3" s="35">
        <f t="shared" ref="L3:L50" si="4">D3/H3</f>
        <v>1</v>
      </c>
    </row>
    <row r="4" spans="1:13" x14ac:dyDescent="0.2">
      <c r="A4" s="13" t="s">
        <v>270</v>
      </c>
      <c r="B4" s="33">
        <v>0</v>
      </c>
      <c r="C4" s="33">
        <v>0</v>
      </c>
      <c r="D4" s="33">
        <v>127</v>
      </c>
      <c r="E4" s="33">
        <v>25</v>
      </c>
      <c r="F4" s="33">
        <v>0</v>
      </c>
      <c r="G4" s="33">
        <v>0</v>
      </c>
      <c r="H4" s="13">
        <f t="shared" si="0"/>
        <v>127</v>
      </c>
      <c r="I4" s="13">
        <f t="shared" si="1"/>
        <v>25</v>
      </c>
      <c r="J4" s="21">
        <f t="shared" si="2"/>
        <v>0</v>
      </c>
      <c r="K4" s="21">
        <f t="shared" si="3"/>
        <v>0.19685039370078741</v>
      </c>
      <c r="L4" s="35">
        <f t="shared" si="4"/>
        <v>1</v>
      </c>
    </row>
    <row r="5" spans="1:13" x14ac:dyDescent="0.2">
      <c r="A5" s="13" t="s">
        <v>293</v>
      </c>
      <c r="B5" s="33">
        <v>0</v>
      </c>
      <c r="C5" s="33">
        <v>0</v>
      </c>
      <c r="D5" s="33">
        <v>85</v>
      </c>
      <c r="E5" s="33">
        <v>24</v>
      </c>
      <c r="F5" s="33">
        <v>0</v>
      </c>
      <c r="G5" s="33">
        <v>0</v>
      </c>
      <c r="H5" s="13">
        <f t="shared" si="0"/>
        <v>85</v>
      </c>
      <c r="I5" s="13">
        <f t="shared" si="1"/>
        <v>24</v>
      </c>
      <c r="J5" s="21">
        <f t="shared" si="2"/>
        <v>0</v>
      </c>
      <c r="K5" s="21">
        <f t="shared" si="3"/>
        <v>0.28235294117647058</v>
      </c>
      <c r="L5" s="35">
        <f t="shared" si="4"/>
        <v>1</v>
      </c>
    </row>
    <row r="6" spans="1:13" x14ac:dyDescent="0.2">
      <c r="A6" s="13" t="s">
        <v>247</v>
      </c>
      <c r="B6" s="33">
        <v>0</v>
      </c>
      <c r="C6" s="33">
        <v>0</v>
      </c>
      <c r="D6" s="33">
        <v>168</v>
      </c>
      <c r="E6" s="33">
        <v>59</v>
      </c>
      <c r="F6" s="33">
        <v>0</v>
      </c>
      <c r="G6" s="33">
        <v>0</v>
      </c>
      <c r="H6" s="13">
        <f t="shared" si="0"/>
        <v>168</v>
      </c>
      <c r="I6" s="13">
        <f t="shared" si="1"/>
        <v>59</v>
      </c>
      <c r="J6" s="21">
        <f t="shared" si="2"/>
        <v>0</v>
      </c>
      <c r="K6" s="21">
        <f t="shared" si="3"/>
        <v>0.35119047619047616</v>
      </c>
      <c r="L6" s="35">
        <f t="shared" si="4"/>
        <v>1</v>
      </c>
    </row>
    <row r="7" spans="1:13" x14ac:dyDescent="0.2">
      <c r="A7" s="13" t="s">
        <v>255</v>
      </c>
      <c r="B7" s="33">
        <v>0</v>
      </c>
      <c r="C7" s="33">
        <v>0</v>
      </c>
      <c r="D7" s="33">
        <v>24</v>
      </c>
      <c r="E7" s="33">
        <v>10</v>
      </c>
      <c r="F7" s="33">
        <v>0</v>
      </c>
      <c r="G7" s="33">
        <v>0</v>
      </c>
      <c r="H7" s="13">
        <f t="shared" si="0"/>
        <v>24</v>
      </c>
      <c r="I7" s="13">
        <f t="shared" si="1"/>
        <v>10</v>
      </c>
      <c r="J7" s="21">
        <f t="shared" si="2"/>
        <v>0</v>
      </c>
      <c r="K7" s="21">
        <f t="shared" si="3"/>
        <v>0.41666666666666669</v>
      </c>
      <c r="L7" s="35">
        <f t="shared" si="4"/>
        <v>1</v>
      </c>
    </row>
    <row r="8" spans="1:13" x14ac:dyDescent="0.2">
      <c r="A8" s="13" t="s">
        <v>294</v>
      </c>
      <c r="B8" s="33">
        <v>0</v>
      </c>
      <c r="C8" s="33">
        <v>0</v>
      </c>
      <c r="D8" s="33">
        <v>186</v>
      </c>
      <c r="E8" s="33">
        <v>91</v>
      </c>
      <c r="F8" s="33">
        <v>0</v>
      </c>
      <c r="G8" s="33">
        <v>0</v>
      </c>
      <c r="H8" s="13">
        <f t="shared" si="0"/>
        <v>186</v>
      </c>
      <c r="I8" s="13">
        <f t="shared" si="1"/>
        <v>91</v>
      </c>
      <c r="J8" s="21">
        <f t="shared" si="2"/>
        <v>0</v>
      </c>
      <c r="K8" s="21">
        <f t="shared" si="3"/>
        <v>0.489247311827957</v>
      </c>
      <c r="L8" s="35">
        <f t="shared" si="4"/>
        <v>1</v>
      </c>
    </row>
    <row r="9" spans="1:13" x14ac:dyDescent="0.2">
      <c r="A9" s="13" t="s">
        <v>276</v>
      </c>
      <c r="B9" s="33">
        <v>0</v>
      </c>
      <c r="C9" s="33">
        <v>0</v>
      </c>
      <c r="D9" s="33">
        <v>171</v>
      </c>
      <c r="E9" s="33">
        <v>94</v>
      </c>
      <c r="F9" s="33">
        <v>0</v>
      </c>
      <c r="G9" s="33">
        <v>0</v>
      </c>
      <c r="H9" s="13">
        <f t="shared" si="0"/>
        <v>171</v>
      </c>
      <c r="I9" s="13">
        <f t="shared" si="1"/>
        <v>94</v>
      </c>
      <c r="J9" s="21">
        <f t="shared" si="2"/>
        <v>0</v>
      </c>
      <c r="K9" s="21">
        <f t="shared" si="3"/>
        <v>0.54970760233918126</v>
      </c>
      <c r="L9" s="35">
        <f t="shared" si="4"/>
        <v>1</v>
      </c>
    </row>
    <row r="10" spans="1:13" x14ac:dyDescent="0.2">
      <c r="A10" s="13" t="s">
        <v>261</v>
      </c>
      <c r="B10" s="33">
        <v>0</v>
      </c>
      <c r="C10" s="33">
        <v>0</v>
      </c>
      <c r="D10" s="33">
        <v>73</v>
      </c>
      <c r="E10" s="33">
        <v>46</v>
      </c>
      <c r="F10" s="33">
        <v>0</v>
      </c>
      <c r="G10" s="33">
        <v>0</v>
      </c>
      <c r="H10" s="13">
        <f t="shared" si="0"/>
        <v>73</v>
      </c>
      <c r="I10" s="13">
        <f t="shared" si="1"/>
        <v>46</v>
      </c>
      <c r="J10" s="21">
        <f t="shared" si="2"/>
        <v>0</v>
      </c>
      <c r="K10" s="21">
        <f t="shared" si="3"/>
        <v>0.63013698630136983</v>
      </c>
      <c r="L10" s="35">
        <f t="shared" si="4"/>
        <v>1</v>
      </c>
    </row>
    <row r="11" spans="1:13" x14ac:dyDescent="0.2">
      <c r="A11" s="13" t="s">
        <v>257</v>
      </c>
      <c r="B11" s="33">
        <v>0</v>
      </c>
      <c r="C11" s="33">
        <v>0</v>
      </c>
      <c r="D11" s="33">
        <v>167</v>
      </c>
      <c r="E11" s="33">
        <v>110</v>
      </c>
      <c r="F11" s="33">
        <v>0</v>
      </c>
      <c r="G11" s="33">
        <v>0</v>
      </c>
      <c r="H11" s="13">
        <f t="shared" si="0"/>
        <v>167</v>
      </c>
      <c r="I11" s="13">
        <f t="shared" si="1"/>
        <v>110</v>
      </c>
      <c r="J11" s="21">
        <f t="shared" si="2"/>
        <v>0</v>
      </c>
      <c r="K11" s="21">
        <f t="shared" si="3"/>
        <v>0.6586826347305389</v>
      </c>
      <c r="L11" s="35">
        <f t="shared" si="4"/>
        <v>1</v>
      </c>
    </row>
    <row r="12" spans="1:13" x14ac:dyDescent="0.2">
      <c r="A12" s="13" t="s">
        <v>266</v>
      </c>
      <c r="B12" s="33">
        <v>0</v>
      </c>
      <c r="C12" s="33">
        <v>0</v>
      </c>
      <c r="D12" s="33">
        <v>258</v>
      </c>
      <c r="E12" s="33">
        <v>181</v>
      </c>
      <c r="F12" s="33">
        <v>0</v>
      </c>
      <c r="G12" s="33">
        <v>0</v>
      </c>
      <c r="H12" s="13">
        <f t="shared" si="0"/>
        <v>258</v>
      </c>
      <c r="I12" s="13">
        <f t="shared" si="1"/>
        <v>181</v>
      </c>
      <c r="J12" s="21">
        <f t="shared" si="2"/>
        <v>0</v>
      </c>
      <c r="K12" s="21">
        <f t="shared" si="3"/>
        <v>0.70155038759689925</v>
      </c>
      <c r="L12" s="35">
        <f t="shared" si="4"/>
        <v>1</v>
      </c>
    </row>
    <row r="13" spans="1:13" x14ac:dyDescent="0.2">
      <c r="A13" s="13" t="s">
        <v>281</v>
      </c>
      <c r="B13" s="33">
        <v>0</v>
      </c>
      <c r="C13" s="33">
        <v>0</v>
      </c>
      <c r="D13" s="33">
        <v>400</v>
      </c>
      <c r="E13" s="33">
        <v>305</v>
      </c>
      <c r="F13" s="33">
        <v>0</v>
      </c>
      <c r="G13" s="33">
        <v>0</v>
      </c>
      <c r="H13" s="13">
        <f t="shared" si="0"/>
        <v>400</v>
      </c>
      <c r="I13" s="13">
        <f t="shared" si="1"/>
        <v>305</v>
      </c>
      <c r="J13" s="21">
        <f t="shared" si="2"/>
        <v>0</v>
      </c>
      <c r="K13" s="21">
        <f t="shared" si="3"/>
        <v>0.76249999999999996</v>
      </c>
      <c r="L13" s="35">
        <f t="shared" si="4"/>
        <v>1</v>
      </c>
    </row>
    <row r="14" spans="1:13" x14ac:dyDescent="0.2">
      <c r="A14" s="13" t="s">
        <v>282</v>
      </c>
      <c r="B14" s="33">
        <v>0</v>
      </c>
      <c r="C14" s="33">
        <v>0</v>
      </c>
      <c r="D14" s="33">
        <v>745</v>
      </c>
      <c r="E14" s="33">
        <v>575</v>
      </c>
      <c r="F14" s="33">
        <v>0</v>
      </c>
      <c r="G14" s="33">
        <v>0</v>
      </c>
      <c r="H14" s="13">
        <f t="shared" si="0"/>
        <v>745</v>
      </c>
      <c r="I14" s="13">
        <f t="shared" si="1"/>
        <v>575</v>
      </c>
      <c r="J14" s="21">
        <f t="shared" si="2"/>
        <v>0</v>
      </c>
      <c r="K14" s="21">
        <f t="shared" si="3"/>
        <v>0.77181208053691275</v>
      </c>
      <c r="L14" s="35">
        <f t="shared" si="4"/>
        <v>1</v>
      </c>
    </row>
    <row r="15" spans="1:13" x14ac:dyDescent="0.2">
      <c r="A15" s="13" t="s">
        <v>295</v>
      </c>
      <c r="B15" s="33">
        <v>0</v>
      </c>
      <c r="C15" s="33">
        <v>0</v>
      </c>
      <c r="D15" s="33">
        <v>3704</v>
      </c>
      <c r="E15" s="33">
        <v>28</v>
      </c>
      <c r="F15" s="33">
        <v>1</v>
      </c>
      <c r="G15" s="33">
        <v>1</v>
      </c>
      <c r="H15" s="13">
        <f t="shared" si="0"/>
        <v>3705</v>
      </c>
      <c r="I15" s="13">
        <f t="shared" si="1"/>
        <v>29</v>
      </c>
      <c r="J15" s="21">
        <f t="shared" si="2"/>
        <v>2.6990553306342779E-4</v>
      </c>
      <c r="K15" s="21">
        <f t="shared" si="3"/>
        <v>7.8272604588394065E-3</v>
      </c>
      <c r="L15" s="35">
        <f t="shared" si="4"/>
        <v>0.99973009446693661</v>
      </c>
      <c r="M15" s="30"/>
    </row>
    <row r="16" spans="1:13" x14ac:dyDescent="0.2">
      <c r="A16" s="13" t="s">
        <v>252</v>
      </c>
      <c r="B16" s="33">
        <v>5</v>
      </c>
      <c r="C16" s="33">
        <v>5</v>
      </c>
      <c r="D16" s="33">
        <v>1728</v>
      </c>
      <c r="E16" s="33">
        <v>741</v>
      </c>
      <c r="F16" s="33">
        <v>0</v>
      </c>
      <c r="G16" s="33">
        <v>0</v>
      </c>
      <c r="H16" s="13">
        <f t="shared" si="0"/>
        <v>1733</v>
      </c>
      <c r="I16" s="13">
        <f t="shared" si="1"/>
        <v>746</v>
      </c>
      <c r="J16" s="21">
        <f t="shared" si="2"/>
        <v>0</v>
      </c>
      <c r="K16" s="21">
        <f t="shared" si="3"/>
        <v>0.43046739757645702</v>
      </c>
      <c r="L16" s="35">
        <f t="shared" si="4"/>
        <v>0.99711482977495669</v>
      </c>
      <c r="M16" s="30"/>
    </row>
    <row r="17" spans="1:13" x14ac:dyDescent="0.2">
      <c r="A17" s="13" t="s">
        <v>274</v>
      </c>
      <c r="B17" s="33">
        <v>3</v>
      </c>
      <c r="C17" s="33">
        <v>3</v>
      </c>
      <c r="D17" s="33">
        <v>415</v>
      </c>
      <c r="E17" s="33">
        <v>163</v>
      </c>
      <c r="F17" s="33">
        <v>0</v>
      </c>
      <c r="G17" s="33">
        <v>0</v>
      </c>
      <c r="H17" s="13">
        <f t="shared" si="0"/>
        <v>418</v>
      </c>
      <c r="I17" s="13">
        <f t="shared" si="1"/>
        <v>166</v>
      </c>
      <c r="J17" s="21">
        <f t="shared" si="2"/>
        <v>0</v>
      </c>
      <c r="K17" s="21">
        <f t="shared" si="3"/>
        <v>0.39712918660287083</v>
      </c>
      <c r="L17" s="35">
        <f t="shared" si="4"/>
        <v>0.99282296650717705</v>
      </c>
      <c r="M17" s="30"/>
    </row>
    <row r="18" spans="1:13" x14ac:dyDescent="0.2">
      <c r="A18" s="13" t="s">
        <v>289</v>
      </c>
      <c r="B18" s="33">
        <v>0</v>
      </c>
      <c r="C18" s="33">
        <v>0</v>
      </c>
      <c r="D18" s="33">
        <v>199</v>
      </c>
      <c r="E18" s="33">
        <v>125</v>
      </c>
      <c r="F18" s="33">
        <v>2</v>
      </c>
      <c r="G18" s="33">
        <v>0</v>
      </c>
      <c r="H18" s="13">
        <f t="shared" si="0"/>
        <v>201</v>
      </c>
      <c r="I18" s="13">
        <f t="shared" si="1"/>
        <v>125</v>
      </c>
      <c r="J18" s="21">
        <f t="shared" si="2"/>
        <v>9.9502487562189053E-3</v>
      </c>
      <c r="K18" s="21">
        <f t="shared" si="3"/>
        <v>0.62189054726368154</v>
      </c>
      <c r="L18" s="35">
        <f t="shared" si="4"/>
        <v>0.99004975124378114</v>
      </c>
      <c r="M18" s="30"/>
    </row>
    <row r="19" spans="1:13" x14ac:dyDescent="0.2">
      <c r="A19" s="13" t="s">
        <v>250</v>
      </c>
      <c r="B19" s="33">
        <v>0</v>
      </c>
      <c r="C19" s="33">
        <v>0</v>
      </c>
      <c r="D19" s="33">
        <v>651</v>
      </c>
      <c r="E19" s="33">
        <v>74</v>
      </c>
      <c r="F19" s="33">
        <v>7</v>
      </c>
      <c r="G19" s="33">
        <v>0</v>
      </c>
      <c r="H19" s="13">
        <f t="shared" si="0"/>
        <v>658</v>
      </c>
      <c r="I19" s="13">
        <f t="shared" si="1"/>
        <v>74</v>
      </c>
      <c r="J19" s="21">
        <f t="shared" si="2"/>
        <v>1.0638297872340425E-2</v>
      </c>
      <c r="K19" s="21">
        <f t="shared" si="3"/>
        <v>0.11246200607902736</v>
      </c>
      <c r="L19" s="35">
        <f t="shared" si="4"/>
        <v>0.98936170212765961</v>
      </c>
      <c r="M19" s="30"/>
    </row>
    <row r="20" spans="1:13" x14ac:dyDescent="0.2">
      <c r="A20" s="13" t="s">
        <v>271</v>
      </c>
      <c r="B20" s="33">
        <v>0</v>
      </c>
      <c r="C20" s="33">
        <v>0</v>
      </c>
      <c r="D20" s="33">
        <v>666</v>
      </c>
      <c r="E20" s="33">
        <v>374</v>
      </c>
      <c r="F20" s="33">
        <v>8</v>
      </c>
      <c r="G20" s="33">
        <v>1</v>
      </c>
      <c r="H20" s="13">
        <f t="shared" si="0"/>
        <v>674</v>
      </c>
      <c r="I20" s="13">
        <f t="shared" si="1"/>
        <v>375</v>
      </c>
      <c r="J20" s="21">
        <f t="shared" si="2"/>
        <v>1.1869436201780416E-2</v>
      </c>
      <c r="K20" s="21">
        <f t="shared" si="3"/>
        <v>0.55637982195845692</v>
      </c>
      <c r="L20" s="35">
        <f t="shared" si="4"/>
        <v>0.98813056379821962</v>
      </c>
      <c r="M20" s="30"/>
    </row>
    <row r="21" spans="1:13" x14ac:dyDescent="0.2">
      <c r="A21" s="13" t="s">
        <v>296</v>
      </c>
      <c r="B21" s="33">
        <v>0</v>
      </c>
      <c r="C21" s="33">
        <v>0</v>
      </c>
      <c r="D21" s="33">
        <v>238</v>
      </c>
      <c r="E21" s="33">
        <v>199</v>
      </c>
      <c r="F21" s="33">
        <v>4</v>
      </c>
      <c r="G21" s="33">
        <v>2</v>
      </c>
      <c r="H21" s="13">
        <f t="shared" si="0"/>
        <v>242</v>
      </c>
      <c r="I21" s="13">
        <f t="shared" si="1"/>
        <v>201</v>
      </c>
      <c r="J21" s="21">
        <f t="shared" si="2"/>
        <v>1.6528925619834711E-2</v>
      </c>
      <c r="K21" s="21">
        <f t="shared" si="3"/>
        <v>0.83057851239669422</v>
      </c>
      <c r="L21" s="35">
        <f t="shared" si="4"/>
        <v>0.98347107438016534</v>
      </c>
      <c r="M21" s="30"/>
    </row>
    <row r="22" spans="1:13" x14ac:dyDescent="0.2">
      <c r="A22" s="13" t="s">
        <v>262</v>
      </c>
      <c r="B22" s="33">
        <v>1</v>
      </c>
      <c r="C22" s="33">
        <v>1</v>
      </c>
      <c r="D22" s="33">
        <v>56</v>
      </c>
      <c r="E22" s="33">
        <v>19</v>
      </c>
      <c r="F22" s="33">
        <v>0</v>
      </c>
      <c r="G22" s="33">
        <v>0</v>
      </c>
      <c r="H22" s="13">
        <f t="shared" si="0"/>
        <v>57</v>
      </c>
      <c r="I22" s="13">
        <f t="shared" si="1"/>
        <v>20</v>
      </c>
      <c r="J22" s="21">
        <f t="shared" si="2"/>
        <v>0</v>
      </c>
      <c r="K22" s="21">
        <f t="shared" si="3"/>
        <v>0.35087719298245612</v>
      </c>
      <c r="L22" s="35">
        <f t="shared" si="4"/>
        <v>0.98245614035087714</v>
      </c>
      <c r="M22" s="30"/>
    </row>
    <row r="23" spans="1:13" x14ac:dyDescent="0.2">
      <c r="A23" s="13" t="s">
        <v>280</v>
      </c>
      <c r="B23" s="33">
        <v>30</v>
      </c>
      <c r="C23" s="33">
        <v>28</v>
      </c>
      <c r="D23" s="33">
        <v>1684</v>
      </c>
      <c r="E23" s="33">
        <v>1274</v>
      </c>
      <c r="F23" s="33">
        <v>1</v>
      </c>
      <c r="G23" s="33">
        <v>0</v>
      </c>
      <c r="H23" s="13">
        <f t="shared" si="0"/>
        <v>1715</v>
      </c>
      <c r="I23" s="13">
        <f t="shared" si="1"/>
        <v>1302</v>
      </c>
      <c r="J23" s="21">
        <f t="shared" si="2"/>
        <v>5.8309037900874635E-4</v>
      </c>
      <c r="K23" s="21">
        <f t="shared" si="3"/>
        <v>0.75918367346938775</v>
      </c>
      <c r="L23" s="35">
        <f t="shared" si="4"/>
        <v>0.98192419825072885</v>
      </c>
      <c r="M23" s="30"/>
    </row>
    <row r="24" spans="1:13" x14ac:dyDescent="0.2">
      <c r="A24" s="13" t="s">
        <v>272</v>
      </c>
      <c r="B24" s="33">
        <v>0</v>
      </c>
      <c r="C24" s="33">
        <v>0</v>
      </c>
      <c r="D24" s="33">
        <v>2236</v>
      </c>
      <c r="E24" s="33">
        <v>585</v>
      </c>
      <c r="F24" s="33">
        <v>46</v>
      </c>
      <c r="G24" s="33">
        <v>7</v>
      </c>
      <c r="H24" s="13">
        <f t="shared" si="0"/>
        <v>2282</v>
      </c>
      <c r="I24" s="13">
        <f t="shared" si="1"/>
        <v>592</v>
      </c>
      <c r="J24" s="21">
        <f t="shared" si="2"/>
        <v>2.0157756354075372E-2</v>
      </c>
      <c r="K24" s="21">
        <f t="shared" si="3"/>
        <v>0.25942156003505695</v>
      </c>
      <c r="L24" s="35">
        <f t="shared" si="4"/>
        <v>0.97984224364592465</v>
      </c>
      <c r="M24" s="30"/>
    </row>
    <row r="25" spans="1:13" x14ac:dyDescent="0.2">
      <c r="A25" s="13" t="s">
        <v>248</v>
      </c>
      <c r="B25" s="33">
        <v>55</v>
      </c>
      <c r="C25" s="33">
        <v>54</v>
      </c>
      <c r="D25" s="33">
        <v>2792</v>
      </c>
      <c r="E25" s="33">
        <v>196</v>
      </c>
      <c r="F25" s="33">
        <v>3</v>
      </c>
      <c r="G25" s="33">
        <v>1</v>
      </c>
      <c r="H25" s="13">
        <f t="shared" si="0"/>
        <v>2850</v>
      </c>
      <c r="I25" s="13">
        <f t="shared" si="1"/>
        <v>251</v>
      </c>
      <c r="J25" s="21">
        <f t="shared" si="2"/>
        <v>1.0526315789473684E-3</v>
      </c>
      <c r="K25" s="21">
        <f t="shared" si="3"/>
        <v>8.8070175438596493E-2</v>
      </c>
      <c r="L25" s="35">
        <f t="shared" si="4"/>
        <v>0.97964912280701755</v>
      </c>
      <c r="M25" s="30"/>
    </row>
    <row r="26" spans="1:13" x14ac:dyDescent="0.2">
      <c r="A26" s="13" t="s">
        <v>269</v>
      </c>
      <c r="B26" s="33">
        <v>9</v>
      </c>
      <c r="C26" s="33">
        <v>8</v>
      </c>
      <c r="D26" s="33">
        <v>363</v>
      </c>
      <c r="E26" s="33">
        <v>279</v>
      </c>
      <c r="F26" s="33">
        <v>0</v>
      </c>
      <c r="G26" s="33">
        <v>0</v>
      </c>
      <c r="H26" s="13">
        <f t="shared" si="0"/>
        <v>372</v>
      </c>
      <c r="I26" s="13">
        <f t="shared" si="1"/>
        <v>287</v>
      </c>
      <c r="J26" s="21">
        <f t="shared" si="2"/>
        <v>0</v>
      </c>
      <c r="K26" s="21">
        <f t="shared" si="3"/>
        <v>0.771505376344086</v>
      </c>
      <c r="L26" s="35">
        <f t="shared" si="4"/>
        <v>0.97580645161290325</v>
      </c>
      <c r="M26" s="30"/>
    </row>
    <row r="27" spans="1:13" x14ac:dyDescent="0.2">
      <c r="A27" s="13" t="s">
        <v>251</v>
      </c>
      <c r="B27" s="33">
        <v>102</v>
      </c>
      <c r="C27" s="33">
        <v>96</v>
      </c>
      <c r="D27" s="33">
        <v>3584</v>
      </c>
      <c r="E27" s="33">
        <v>898</v>
      </c>
      <c r="F27" s="33">
        <v>0</v>
      </c>
      <c r="G27" s="33">
        <v>0</v>
      </c>
      <c r="H27" s="13">
        <f t="shared" si="0"/>
        <v>3686</v>
      </c>
      <c r="I27" s="13">
        <f t="shared" si="1"/>
        <v>994</v>
      </c>
      <c r="J27" s="21">
        <f t="shared" si="2"/>
        <v>0</v>
      </c>
      <c r="K27" s="21">
        <f t="shared" si="3"/>
        <v>0.26966901790558873</v>
      </c>
      <c r="L27" s="35">
        <f t="shared" si="4"/>
        <v>0.97232772653282695</v>
      </c>
      <c r="M27" s="30"/>
    </row>
    <row r="28" spans="1:13" x14ac:dyDescent="0.2">
      <c r="A28" s="13" t="s">
        <v>249</v>
      </c>
      <c r="B28" s="33">
        <v>73</v>
      </c>
      <c r="C28" s="33">
        <v>69</v>
      </c>
      <c r="D28" s="33">
        <v>3136</v>
      </c>
      <c r="E28" s="33">
        <v>290</v>
      </c>
      <c r="F28" s="33">
        <v>21</v>
      </c>
      <c r="G28" s="33">
        <v>0</v>
      </c>
      <c r="H28" s="13">
        <f t="shared" si="0"/>
        <v>3230</v>
      </c>
      <c r="I28" s="13">
        <f t="shared" si="1"/>
        <v>359</v>
      </c>
      <c r="J28" s="21">
        <f t="shared" si="2"/>
        <v>6.501547987616099E-3</v>
      </c>
      <c r="K28" s="21">
        <f t="shared" si="3"/>
        <v>0.11114551083591331</v>
      </c>
      <c r="L28" s="35">
        <f t="shared" si="4"/>
        <v>0.97089783281733744</v>
      </c>
      <c r="M28" s="30"/>
    </row>
    <row r="29" spans="1:13" x14ac:dyDescent="0.2">
      <c r="A29" s="13" t="s">
        <v>258</v>
      </c>
      <c r="B29" s="33">
        <v>35</v>
      </c>
      <c r="C29" s="33">
        <v>31</v>
      </c>
      <c r="D29" s="33">
        <v>1122</v>
      </c>
      <c r="E29" s="33">
        <v>320</v>
      </c>
      <c r="F29" s="33">
        <v>5</v>
      </c>
      <c r="G29" s="33">
        <v>1</v>
      </c>
      <c r="H29" s="13">
        <f t="shared" si="0"/>
        <v>1162</v>
      </c>
      <c r="I29" s="13">
        <f t="shared" si="1"/>
        <v>352</v>
      </c>
      <c r="J29" s="21">
        <f t="shared" si="2"/>
        <v>4.3029259896729772E-3</v>
      </c>
      <c r="K29" s="21">
        <f t="shared" si="3"/>
        <v>0.30292598967297762</v>
      </c>
      <c r="L29" s="35">
        <f t="shared" si="4"/>
        <v>0.96557659208261615</v>
      </c>
      <c r="M29" s="30"/>
    </row>
    <row r="30" spans="1:13" x14ac:dyDescent="0.2">
      <c r="A30" s="13" t="s">
        <v>264</v>
      </c>
      <c r="B30" s="33">
        <v>5</v>
      </c>
      <c r="C30" s="33">
        <v>5</v>
      </c>
      <c r="D30" s="33">
        <v>123</v>
      </c>
      <c r="E30" s="33">
        <v>73</v>
      </c>
      <c r="F30" s="33">
        <v>0</v>
      </c>
      <c r="G30" s="33">
        <v>0</v>
      </c>
      <c r="H30" s="13">
        <f t="shared" si="0"/>
        <v>128</v>
      </c>
      <c r="I30" s="13">
        <f t="shared" si="1"/>
        <v>78</v>
      </c>
      <c r="J30" s="21">
        <f t="shared" si="2"/>
        <v>0</v>
      </c>
      <c r="K30" s="21">
        <f t="shared" si="3"/>
        <v>0.609375</v>
      </c>
      <c r="L30" s="35">
        <f t="shared" si="4"/>
        <v>0.9609375</v>
      </c>
      <c r="M30" s="30"/>
    </row>
    <row r="31" spans="1:13" x14ac:dyDescent="0.2">
      <c r="A31" s="13" t="s">
        <v>278</v>
      </c>
      <c r="B31" s="33">
        <v>4</v>
      </c>
      <c r="C31" s="33">
        <v>4</v>
      </c>
      <c r="D31" s="33">
        <v>195</v>
      </c>
      <c r="E31" s="33">
        <v>13</v>
      </c>
      <c r="F31" s="33">
        <v>5</v>
      </c>
      <c r="G31" s="33">
        <v>5</v>
      </c>
      <c r="H31" s="13">
        <f t="shared" si="0"/>
        <v>204</v>
      </c>
      <c r="I31" s="13">
        <f t="shared" si="1"/>
        <v>22</v>
      </c>
      <c r="J31" s="21">
        <f t="shared" si="2"/>
        <v>2.4509803921568627E-2</v>
      </c>
      <c r="K31" s="21">
        <f t="shared" si="3"/>
        <v>0.10784313725490197</v>
      </c>
      <c r="L31" s="35">
        <f t="shared" si="4"/>
        <v>0.95588235294117652</v>
      </c>
      <c r="M31" s="30"/>
    </row>
    <row r="32" spans="1:13" x14ac:dyDescent="0.2">
      <c r="A32" s="13" t="s">
        <v>286</v>
      </c>
      <c r="B32" s="33">
        <v>9</v>
      </c>
      <c r="C32" s="33">
        <v>9</v>
      </c>
      <c r="D32" s="33">
        <v>210</v>
      </c>
      <c r="E32" s="33">
        <v>160</v>
      </c>
      <c r="F32" s="33">
        <v>1</v>
      </c>
      <c r="G32" s="33">
        <v>0</v>
      </c>
      <c r="H32" s="13">
        <f t="shared" si="0"/>
        <v>220</v>
      </c>
      <c r="I32" s="13">
        <f t="shared" si="1"/>
        <v>169</v>
      </c>
      <c r="J32" s="21">
        <f t="shared" si="2"/>
        <v>4.5454545454545452E-3</v>
      </c>
      <c r="K32" s="21">
        <f t="shared" si="3"/>
        <v>0.76818181818181819</v>
      </c>
      <c r="L32" s="35">
        <f t="shared" si="4"/>
        <v>0.95454545454545459</v>
      </c>
      <c r="M32" s="30"/>
    </row>
    <row r="33" spans="1:13" x14ac:dyDescent="0.2">
      <c r="A33" s="13" t="s">
        <v>260</v>
      </c>
      <c r="B33" s="33">
        <v>43</v>
      </c>
      <c r="C33" s="33">
        <v>42</v>
      </c>
      <c r="D33" s="33">
        <v>937</v>
      </c>
      <c r="E33" s="33">
        <v>216</v>
      </c>
      <c r="F33" s="33">
        <v>2</v>
      </c>
      <c r="G33" s="33">
        <v>1</v>
      </c>
      <c r="H33" s="13">
        <f t="shared" si="0"/>
        <v>982</v>
      </c>
      <c r="I33" s="13">
        <f t="shared" si="1"/>
        <v>259</v>
      </c>
      <c r="J33" s="21">
        <f t="shared" si="2"/>
        <v>2.0366598778004071E-3</v>
      </c>
      <c r="K33" s="21">
        <f t="shared" si="3"/>
        <v>0.26374745417515277</v>
      </c>
      <c r="L33" s="35">
        <f t="shared" si="4"/>
        <v>0.95417515274949083</v>
      </c>
      <c r="M33" s="30"/>
    </row>
    <row r="34" spans="1:13" x14ac:dyDescent="0.2">
      <c r="A34" s="13" t="s">
        <v>265</v>
      </c>
      <c r="B34" s="33">
        <v>31</v>
      </c>
      <c r="C34" s="33">
        <v>30</v>
      </c>
      <c r="D34" s="33">
        <v>445</v>
      </c>
      <c r="E34" s="33">
        <v>133</v>
      </c>
      <c r="F34" s="33">
        <v>1</v>
      </c>
      <c r="G34" s="33">
        <v>1</v>
      </c>
      <c r="H34" s="13">
        <f t="shared" si="0"/>
        <v>477</v>
      </c>
      <c r="I34" s="13">
        <f t="shared" si="1"/>
        <v>164</v>
      </c>
      <c r="J34" s="21">
        <f t="shared" si="2"/>
        <v>2.0964360587002098E-3</v>
      </c>
      <c r="K34" s="21">
        <f t="shared" si="3"/>
        <v>0.34381551362683438</v>
      </c>
      <c r="L34" s="35">
        <f t="shared" si="4"/>
        <v>0.93291404612159334</v>
      </c>
      <c r="M34" s="30"/>
    </row>
    <row r="35" spans="1:13" x14ac:dyDescent="0.2">
      <c r="A35" s="13" t="s">
        <v>259</v>
      </c>
      <c r="B35" s="33">
        <v>14</v>
      </c>
      <c r="C35" s="33">
        <v>14</v>
      </c>
      <c r="D35" s="33">
        <v>156</v>
      </c>
      <c r="E35" s="33">
        <v>94</v>
      </c>
      <c r="F35" s="33">
        <v>0</v>
      </c>
      <c r="G35" s="33">
        <v>0</v>
      </c>
      <c r="H35" s="13">
        <f t="shared" ref="H35:H52" si="5">B35+D35+F35</f>
        <v>170</v>
      </c>
      <c r="I35" s="13">
        <f t="shared" ref="I35:I52" si="6">C35+E35+G35</f>
        <v>108</v>
      </c>
      <c r="J35" s="21">
        <f t="shared" si="2"/>
        <v>0</v>
      </c>
      <c r="K35" s="21">
        <f t="shared" si="3"/>
        <v>0.63529411764705879</v>
      </c>
      <c r="L35" s="35">
        <f t="shared" si="4"/>
        <v>0.91764705882352937</v>
      </c>
      <c r="M35" s="30"/>
    </row>
    <row r="36" spans="1:13" x14ac:dyDescent="0.2">
      <c r="A36" s="13" t="s">
        <v>256</v>
      </c>
      <c r="B36" s="33">
        <v>43</v>
      </c>
      <c r="C36" s="33">
        <v>40</v>
      </c>
      <c r="D36" s="33">
        <v>475</v>
      </c>
      <c r="E36" s="33">
        <v>182</v>
      </c>
      <c r="F36" s="33">
        <v>0</v>
      </c>
      <c r="G36" s="33">
        <v>0</v>
      </c>
      <c r="H36" s="13">
        <f t="shared" si="5"/>
        <v>518</v>
      </c>
      <c r="I36" s="13">
        <f t="shared" si="6"/>
        <v>222</v>
      </c>
      <c r="J36" s="21">
        <f t="shared" si="2"/>
        <v>0</v>
      </c>
      <c r="K36" s="21">
        <f t="shared" si="3"/>
        <v>0.42857142857142855</v>
      </c>
      <c r="L36" s="35">
        <f t="shared" si="4"/>
        <v>0.91698841698841704</v>
      </c>
      <c r="M36" s="30"/>
    </row>
    <row r="37" spans="1:13" x14ac:dyDescent="0.2">
      <c r="A37" s="13" t="s">
        <v>285</v>
      </c>
      <c r="B37" s="33">
        <v>27</v>
      </c>
      <c r="C37" s="33">
        <v>25</v>
      </c>
      <c r="D37" s="33">
        <v>274</v>
      </c>
      <c r="E37" s="33">
        <v>153</v>
      </c>
      <c r="F37" s="33">
        <v>0</v>
      </c>
      <c r="G37" s="33">
        <v>0</v>
      </c>
      <c r="H37" s="13">
        <f t="shared" si="5"/>
        <v>301</v>
      </c>
      <c r="I37" s="13">
        <f t="shared" si="6"/>
        <v>178</v>
      </c>
      <c r="J37" s="21">
        <f t="shared" si="2"/>
        <v>0</v>
      </c>
      <c r="K37" s="21">
        <f t="shared" si="3"/>
        <v>0.59136212624584716</v>
      </c>
      <c r="L37" s="35">
        <f t="shared" si="4"/>
        <v>0.9102990033222591</v>
      </c>
      <c r="M37" s="30"/>
    </row>
    <row r="38" spans="1:13" x14ac:dyDescent="0.2">
      <c r="A38" s="13" t="s">
        <v>263</v>
      </c>
      <c r="B38" s="33">
        <v>9</v>
      </c>
      <c r="C38" s="33">
        <v>8</v>
      </c>
      <c r="D38" s="33">
        <v>91</v>
      </c>
      <c r="E38" s="33">
        <v>42</v>
      </c>
      <c r="F38" s="33">
        <v>0</v>
      </c>
      <c r="G38" s="33">
        <v>0</v>
      </c>
      <c r="H38" s="13">
        <f t="shared" si="5"/>
        <v>100</v>
      </c>
      <c r="I38" s="13">
        <f t="shared" si="6"/>
        <v>50</v>
      </c>
      <c r="J38" s="21">
        <f t="shared" si="2"/>
        <v>0</v>
      </c>
      <c r="K38" s="21">
        <f t="shared" si="3"/>
        <v>0.5</v>
      </c>
      <c r="L38" s="35">
        <f t="shared" si="4"/>
        <v>0.91</v>
      </c>
      <c r="M38" s="30"/>
    </row>
    <row r="39" spans="1:13" x14ac:dyDescent="0.2">
      <c r="A39" s="13" t="s">
        <v>268</v>
      </c>
      <c r="B39" s="33">
        <v>34</v>
      </c>
      <c r="C39" s="33">
        <v>30</v>
      </c>
      <c r="D39" s="33">
        <v>321</v>
      </c>
      <c r="E39" s="33">
        <v>197</v>
      </c>
      <c r="F39" s="33">
        <v>0</v>
      </c>
      <c r="G39" s="33">
        <v>0</v>
      </c>
      <c r="H39" s="13">
        <f t="shared" si="5"/>
        <v>355</v>
      </c>
      <c r="I39" s="13">
        <f t="shared" si="6"/>
        <v>227</v>
      </c>
      <c r="J39" s="21">
        <f t="shared" si="2"/>
        <v>0</v>
      </c>
      <c r="K39" s="21">
        <f t="shared" si="3"/>
        <v>0.6394366197183099</v>
      </c>
      <c r="L39" s="35">
        <f t="shared" si="4"/>
        <v>0.90422535211267607</v>
      </c>
      <c r="M39" s="30"/>
    </row>
    <row r="40" spans="1:13" x14ac:dyDescent="0.2">
      <c r="A40" s="13" t="s">
        <v>288</v>
      </c>
      <c r="B40" s="33">
        <v>27</v>
      </c>
      <c r="C40" s="33">
        <v>26</v>
      </c>
      <c r="D40" s="33">
        <v>205</v>
      </c>
      <c r="E40" s="33">
        <v>86</v>
      </c>
      <c r="F40" s="33">
        <v>0</v>
      </c>
      <c r="G40" s="33">
        <v>0</v>
      </c>
      <c r="H40" s="13">
        <f t="shared" si="5"/>
        <v>232</v>
      </c>
      <c r="I40" s="13">
        <f t="shared" si="6"/>
        <v>112</v>
      </c>
      <c r="J40" s="21">
        <f t="shared" si="2"/>
        <v>0</v>
      </c>
      <c r="K40" s="21">
        <f t="shared" si="3"/>
        <v>0.48275862068965519</v>
      </c>
      <c r="L40" s="35">
        <f t="shared" si="4"/>
        <v>0.88362068965517238</v>
      </c>
      <c r="M40" s="30"/>
    </row>
    <row r="41" spans="1:13" x14ac:dyDescent="0.2">
      <c r="A41" s="13" t="s">
        <v>273</v>
      </c>
      <c r="B41" s="33">
        <v>113</v>
      </c>
      <c r="C41" s="33">
        <v>106</v>
      </c>
      <c r="D41" s="33">
        <v>458</v>
      </c>
      <c r="E41" s="33">
        <v>318</v>
      </c>
      <c r="F41" s="33">
        <v>0</v>
      </c>
      <c r="G41" s="33">
        <v>0</v>
      </c>
      <c r="H41" s="13">
        <f t="shared" si="5"/>
        <v>571</v>
      </c>
      <c r="I41" s="13">
        <f t="shared" si="6"/>
        <v>424</v>
      </c>
      <c r="J41" s="21">
        <f t="shared" si="2"/>
        <v>0</v>
      </c>
      <c r="K41" s="21">
        <f t="shared" si="3"/>
        <v>0.74255691768826615</v>
      </c>
      <c r="L41" s="35">
        <f t="shared" si="4"/>
        <v>0.80210157618213662</v>
      </c>
      <c r="M41" s="30"/>
    </row>
    <row r="42" spans="1:13" x14ac:dyDescent="0.2">
      <c r="A42" s="13" t="s">
        <v>291</v>
      </c>
      <c r="B42" s="33">
        <v>173</v>
      </c>
      <c r="C42" s="33">
        <v>165</v>
      </c>
      <c r="D42" s="33">
        <v>576</v>
      </c>
      <c r="E42" s="33">
        <v>421</v>
      </c>
      <c r="F42" s="33">
        <v>0</v>
      </c>
      <c r="G42" s="33">
        <v>0</v>
      </c>
      <c r="H42" s="13">
        <f t="shared" si="5"/>
        <v>749</v>
      </c>
      <c r="I42" s="13">
        <f t="shared" si="6"/>
        <v>586</v>
      </c>
      <c r="J42" s="21">
        <f t="shared" si="2"/>
        <v>0</v>
      </c>
      <c r="K42" s="21">
        <f t="shared" si="3"/>
        <v>0.78237650200267028</v>
      </c>
      <c r="L42" s="35">
        <f t="shared" si="4"/>
        <v>0.76902536715620828</v>
      </c>
      <c r="M42" s="30"/>
    </row>
    <row r="43" spans="1:13" x14ac:dyDescent="0.2">
      <c r="A43" s="13" t="s">
        <v>254</v>
      </c>
      <c r="B43" s="33">
        <v>59</v>
      </c>
      <c r="C43" s="33">
        <v>54</v>
      </c>
      <c r="D43" s="33">
        <v>195</v>
      </c>
      <c r="E43" s="33">
        <v>80</v>
      </c>
      <c r="F43" s="33">
        <v>4</v>
      </c>
      <c r="G43" s="33">
        <v>1</v>
      </c>
      <c r="H43" s="13">
        <f t="shared" si="5"/>
        <v>258</v>
      </c>
      <c r="I43" s="13">
        <f t="shared" si="6"/>
        <v>135</v>
      </c>
      <c r="J43" s="21">
        <f t="shared" si="2"/>
        <v>1.5503875968992248E-2</v>
      </c>
      <c r="K43" s="21">
        <f t="shared" si="3"/>
        <v>0.52325581395348841</v>
      </c>
      <c r="L43" s="35">
        <f t="shared" si="4"/>
        <v>0.7558139534883721</v>
      </c>
      <c r="M43" s="30"/>
    </row>
    <row r="44" spans="1:13" x14ac:dyDescent="0.2">
      <c r="A44" s="13" t="s">
        <v>253</v>
      </c>
      <c r="B44" s="33">
        <v>23</v>
      </c>
      <c r="C44" s="33">
        <v>22</v>
      </c>
      <c r="D44" s="33">
        <v>60</v>
      </c>
      <c r="E44" s="33">
        <v>24</v>
      </c>
      <c r="F44" s="33">
        <v>0</v>
      </c>
      <c r="G44" s="33">
        <v>0</v>
      </c>
      <c r="H44" s="13">
        <f t="shared" si="5"/>
        <v>83</v>
      </c>
      <c r="I44" s="13">
        <f t="shared" si="6"/>
        <v>46</v>
      </c>
      <c r="J44" s="21">
        <f t="shared" si="2"/>
        <v>0</v>
      </c>
      <c r="K44" s="21">
        <f t="shared" si="3"/>
        <v>0.55421686746987953</v>
      </c>
      <c r="L44" s="35">
        <f t="shared" si="4"/>
        <v>0.72289156626506024</v>
      </c>
      <c r="M44" s="30"/>
    </row>
    <row r="45" spans="1:13" x14ac:dyDescent="0.2">
      <c r="A45" s="13" t="s">
        <v>283</v>
      </c>
      <c r="B45" s="33">
        <v>28</v>
      </c>
      <c r="C45" s="33">
        <v>25</v>
      </c>
      <c r="D45" s="33">
        <v>215</v>
      </c>
      <c r="E45" s="33">
        <v>143</v>
      </c>
      <c r="F45" s="33">
        <v>67</v>
      </c>
      <c r="G45" s="33">
        <v>57</v>
      </c>
      <c r="H45" s="13">
        <f t="shared" si="5"/>
        <v>310</v>
      </c>
      <c r="I45" s="13">
        <f t="shared" si="6"/>
        <v>225</v>
      </c>
      <c r="J45" s="21">
        <f t="shared" si="2"/>
        <v>0.21612903225806451</v>
      </c>
      <c r="K45" s="21">
        <f t="shared" si="3"/>
        <v>0.72580645161290325</v>
      </c>
      <c r="L45" s="35">
        <f t="shared" si="4"/>
        <v>0.69354838709677424</v>
      </c>
      <c r="M45" s="30"/>
    </row>
    <row r="46" spans="1:13" x14ac:dyDescent="0.2">
      <c r="A46" s="13" t="s">
        <v>277</v>
      </c>
      <c r="B46" s="33">
        <v>97</v>
      </c>
      <c r="C46" s="33">
        <v>90</v>
      </c>
      <c r="D46" s="33">
        <v>192</v>
      </c>
      <c r="E46" s="33">
        <v>144</v>
      </c>
      <c r="F46" s="33">
        <v>0</v>
      </c>
      <c r="G46" s="33">
        <v>0</v>
      </c>
      <c r="H46" s="13">
        <f t="shared" si="5"/>
        <v>289</v>
      </c>
      <c r="I46" s="13">
        <f t="shared" si="6"/>
        <v>234</v>
      </c>
      <c r="J46" s="21">
        <f t="shared" si="2"/>
        <v>0</v>
      </c>
      <c r="K46" s="21">
        <f t="shared" si="3"/>
        <v>0.80968858131487886</v>
      </c>
      <c r="L46" s="35">
        <f t="shared" si="4"/>
        <v>0.66435986159169547</v>
      </c>
      <c r="M46" s="30"/>
    </row>
    <row r="47" spans="1:13" x14ac:dyDescent="0.2">
      <c r="A47" s="13" t="s">
        <v>275</v>
      </c>
      <c r="B47" s="33">
        <v>283</v>
      </c>
      <c r="C47" s="33">
        <v>264</v>
      </c>
      <c r="D47" s="33">
        <v>560</v>
      </c>
      <c r="E47" s="33">
        <v>379</v>
      </c>
      <c r="F47" s="33">
        <v>1</v>
      </c>
      <c r="G47" s="33">
        <v>0</v>
      </c>
      <c r="H47" s="13">
        <f t="shared" si="5"/>
        <v>844</v>
      </c>
      <c r="I47" s="13">
        <f t="shared" si="6"/>
        <v>643</v>
      </c>
      <c r="J47" s="21">
        <f t="shared" si="2"/>
        <v>1.1848341232227489E-3</v>
      </c>
      <c r="K47" s="21">
        <f t="shared" si="3"/>
        <v>0.76184834123222744</v>
      </c>
      <c r="L47" s="35">
        <f t="shared" si="4"/>
        <v>0.6635071090047393</v>
      </c>
      <c r="M47" s="30"/>
    </row>
    <row r="48" spans="1:13" x14ac:dyDescent="0.2">
      <c r="A48" s="13" t="s">
        <v>292</v>
      </c>
      <c r="B48" s="33">
        <v>0</v>
      </c>
      <c r="C48" s="33">
        <v>0</v>
      </c>
      <c r="D48" s="33">
        <v>445</v>
      </c>
      <c r="E48" s="33">
        <v>237</v>
      </c>
      <c r="F48" s="33">
        <v>378</v>
      </c>
      <c r="G48" s="33">
        <v>373</v>
      </c>
      <c r="H48" s="13">
        <f t="shared" si="5"/>
        <v>823</v>
      </c>
      <c r="I48" s="13">
        <f t="shared" si="6"/>
        <v>610</v>
      </c>
      <c r="J48" s="21">
        <f t="shared" si="2"/>
        <v>0.45929526123936815</v>
      </c>
      <c r="K48" s="21">
        <f t="shared" si="3"/>
        <v>0.74119076549210205</v>
      </c>
      <c r="L48" s="35">
        <f t="shared" si="4"/>
        <v>0.54070473876063185</v>
      </c>
      <c r="M48" s="30"/>
    </row>
    <row r="49" spans="1:13" x14ac:dyDescent="0.2">
      <c r="A49" s="13" t="s">
        <v>284</v>
      </c>
      <c r="B49" s="33">
        <v>37</v>
      </c>
      <c r="C49" s="33">
        <v>35</v>
      </c>
      <c r="D49" s="33">
        <v>39</v>
      </c>
      <c r="E49" s="33">
        <v>18</v>
      </c>
      <c r="F49" s="33">
        <v>0</v>
      </c>
      <c r="G49" s="33">
        <v>0</v>
      </c>
      <c r="H49" s="13">
        <f t="shared" si="5"/>
        <v>76</v>
      </c>
      <c r="I49" s="13">
        <f t="shared" si="6"/>
        <v>53</v>
      </c>
      <c r="J49" s="21">
        <f t="shared" si="2"/>
        <v>0</v>
      </c>
      <c r="K49" s="21">
        <f t="shared" si="3"/>
        <v>0.69736842105263153</v>
      </c>
      <c r="L49" s="35">
        <f t="shared" si="4"/>
        <v>0.51315789473684215</v>
      </c>
      <c r="M49" s="30"/>
    </row>
    <row r="50" spans="1:13" x14ac:dyDescent="0.2">
      <c r="A50" s="13" t="s">
        <v>267</v>
      </c>
      <c r="B50" s="33">
        <v>42</v>
      </c>
      <c r="C50" s="33">
        <v>40</v>
      </c>
      <c r="D50" s="33">
        <v>22</v>
      </c>
      <c r="E50" s="33">
        <v>2</v>
      </c>
      <c r="F50" s="33">
        <v>1</v>
      </c>
      <c r="G50" s="33">
        <v>1</v>
      </c>
      <c r="H50" s="13">
        <f t="shared" si="5"/>
        <v>65</v>
      </c>
      <c r="I50" s="13">
        <f t="shared" si="6"/>
        <v>43</v>
      </c>
      <c r="J50" s="21">
        <f t="shared" si="2"/>
        <v>1.5384615384615385E-2</v>
      </c>
      <c r="K50" s="21">
        <f t="shared" si="3"/>
        <v>0.66153846153846152</v>
      </c>
      <c r="L50" s="35">
        <f t="shared" si="4"/>
        <v>0.33846153846153848</v>
      </c>
      <c r="M50" s="30"/>
    </row>
    <row r="51" spans="1:13" x14ac:dyDescent="0.2">
      <c r="A51" s="13" t="s">
        <v>290</v>
      </c>
      <c r="B51" s="33">
        <v>0</v>
      </c>
      <c r="C51" s="33">
        <v>0</v>
      </c>
      <c r="D51" s="33">
        <v>0</v>
      </c>
      <c r="E51" s="33">
        <v>0</v>
      </c>
      <c r="F51" s="33">
        <v>0</v>
      </c>
      <c r="G51" s="33">
        <v>0</v>
      </c>
      <c r="H51" s="13">
        <f t="shared" si="5"/>
        <v>0</v>
      </c>
      <c r="I51" s="13">
        <f t="shared" si="6"/>
        <v>0</v>
      </c>
      <c r="J51" s="21">
        <v>0</v>
      </c>
      <c r="K51" s="21">
        <v>0</v>
      </c>
      <c r="L51" s="35">
        <v>0</v>
      </c>
      <c r="M51" s="30"/>
    </row>
    <row r="52" spans="1:13" x14ac:dyDescent="0.2">
      <c r="A52" s="13" t="s">
        <v>287</v>
      </c>
      <c r="B52" s="33">
        <v>0</v>
      </c>
      <c r="C52" s="33">
        <v>0</v>
      </c>
      <c r="D52" s="33">
        <v>0</v>
      </c>
      <c r="E52" s="33">
        <v>0</v>
      </c>
      <c r="F52" s="33">
        <v>0</v>
      </c>
      <c r="G52" s="33">
        <v>0</v>
      </c>
      <c r="H52" s="13">
        <f t="shared" si="5"/>
        <v>0</v>
      </c>
      <c r="I52" s="13">
        <f t="shared" si="6"/>
        <v>0</v>
      </c>
      <c r="J52" s="21">
        <v>0</v>
      </c>
      <c r="K52" s="21">
        <v>0</v>
      </c>
      <c r="L52" s="35">
        <v>0</v>
      </c>
      <c r="M52" s="30"/>
    </row>
  </sheetData>
  <sortState xmlns:xlrd2="http://schemas.microsoft.com/office/spreadsheetml/2017/richdata2" ref="A3:J50">
    <sortCondition descending="1" ref="J3:J50"/>
  </sortState>
  <mergeCells count="4">
    <mergeCell ref="B1:C1"/>
    <mergeCell ref="D1:E1"/>
    <mergeCell ref="F1:G1"/>
    <mergeCell ref="H1:I1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7372A-2906-4C3A-8E15-3C657C7B8D5D}">
  <sheetPr>
    <tabColor rgb="FF00B050"/>
  </sheetPr>
  <dimension ref="A1:M51"/>
  <sheetViews>
    <sheetView workbookViewId="0">
      <selection sqref="A1:M51"/>
    </sheetView>
  </sheetViews>
  <sheetFormatPr baseColWidth="10" defaultColWidth="8.83203125" defaultRowHeight="15" x14ac:dyDescent="0.2"/>
  <cols>
    <col min="1" max="1" width="5.5" bestFit="1" customWidth="1"/>
    <col min="3" max="3" width="6.5" bestFit="1" customWidth="1"/>
    <col min="4" max="4" width="22.33203125" customWidth="1"/>
    <col min="5" max="6" width="11.5" customWidth="1"/>
    <col min="7" max="9" width="10.5" customWidth="1"/>
    <col min="10" max="10" width="9.5" bestFit="1" customWidth="1"/>
    <col min="12" max="12" width="14.6640625" customWidth="1"/>
  </cols>
  <sheetData>
    <row r="1" spans="1:13" ht="45" x14ac:dyDescent="0.2">
      <c r="A1" s="69" t="s">
        <v>97</v>
      </c>
      <c r="B1" s="69" t="s">
        <v>120</v>
      </c>
      <c r="C1" s="69" t="s">
        <v>176</v>
      </c>
      <c r="D1" s="70" t="s">
        <v>174</v>
      </c>
      <c r="E1" s="14" t="s">
        <v>116</v>
      </c>
      <c r="F1" s="14" t="s">
        <v>117</v>
      </c>
      <c r="G1" s="14" t="s">
        <v>118</v>
      </c>
      <c r="H1" s="14" t="s">
        <v>245</v>
      </c>
      <c r="I1" s="14" t="s">
        <v>246</v>
      </c>
      <c r="J1" s="7" t="s">
        <v>119</v>
      </c>
      <c r="K1" s="14" t="s">
        <v>236</v>
      </c>
      <c r="L1" s="14" t="s">
        <v>237</v>
      </c>
      <c r="M1" s="14" t="s">
        <v>238</v>
      </c>
    </row>
    <row r="2" spans="1:13" ht="18" customHeight="1" x14ac:dyDescent="0.2">
      <c r="A2" s="71">
        <v>5</v>
      </c>
      <c r="B2" s="71" t="s">
        <v>121</v>
      </c>
      <c r="C2" s="71" t="s">
        <v>89</v>
      </c>
      <c r="D2" s="72" t="s">
        <v>132</v>
      </c>
      <c r="E2" s="38">
        <v>28.22438154778753</v>
      </c>
      <c r="F2" s="38">
        <v>73.89780062666938</v>
      </c>
      <c r="G2" s="38">
        <v>99.431914800750718</v>
      </c>
      <c r="H2" s="38">
        <v>6.1531385969052765</v>
      </c>
      <c r="I2" s="38">
        <v>100</v>
      </c>
      <c r="J2" s="15">
        <f t="shared" ref="J2:J33" si="0">AVERAGE(E2:I2)</f>
        <v>61.541447114422589</v>
      </c>
      <c r="K2" s="16">
        <v>1</v>
      </c>
      <c r="L2" s="13">
        <v>8</v>
      </c>
      <c r="M2" s="77">
        <f t="shared" ref="M2:M33" si="1">(L2-K2)</f>
        <v>7</v>
      </c>
    </row>
    <row r="3" spans="1:13" ht="18" customHeight="1" x14ac:dyDescent="0.2">
      <c r="A3" s="71">
        <v>4</v>
      </c>
      <c r="B3" s="71" t="s">
        <v>121</v>
      </c>
      <c r="C3" s="71" t="s">
        <v>24</v>
      </c>
      <c r="D3" s="72" t="s">
        <v>137</v>
      </c>
      <c r="E3" s="38">
        <v>38.857724840192922</v>
      </c>
      <c r="F3" s="38">
        <v>64.939938740178462</v>
      </c>
      <c r="G3" s="38">
        <v>94.703866829279264</v>
      </c>
      <c r="H3" s="38">
        <v>5.1843754762239982</v>
      </c>
      <c r="I3" s="38">
        <v>98.81</v>
      </c>
      <c r="J3" s="15">
        <f t="shared" si="0"/>
        <v>60.499181177174933</v>
      </c>
      <c r="K3" s="16">
        <v>2</v>
      </c>
      <c r="L3" s="13">
        <v>2</v>
      </c>
      <c r="M3" s="77">
        <f t="shared" si="1"/>
        <v>0</v>
      </c>
    </row>
    <row r="4" spans="1:13" ht="17.25" customHeight="1" x14ac:dyDescent="0.2">
      <c r="A4" s="71">
        <v>10</v>
      </c>
      <c r="B4" s="71" t="s">
        <v>121</v>
      </c>
      <c r="C4" s="71" t="s">
        <v>7</v>
      </c>
      <c r="D4" s="72" t="s">
        <v>131</v>
      </c>
      <c r="E4" s="38">
        <v>34.794584382228592</v>
      </c>
      <c r="F4" s="38">
        <v>66.295657534023292</v>
      </c>
      <c r="G4" s="38">
        <v>95.483621041933105</v>
      </c>
      <c r="H4" s="38">
        <v>4.0989333381329578</v>
      </c>
      <c r="I4" s="38">
        <v>98.3</v>
      </c>
      <c r="J4" s="15">
        <f t="shared" si="0"/>
        <v>59.794559259263586</v>
      </c>
      <c r="K4" s="16">
        <v>3</v>
      </c>
      <c r="L4" s="13">
        <f>VLOOKUP(C4,'Final Ranking Oct'!C4:K53,9,0)</f>
        <v>11</v>
      </c>
      <c r="M4" s="77">
        <f t="shared" si="1"/>
        <v>8</v>
      </c>
    </row>
    <row r="5" spans="1:13" ht="15.75" customHeight="1" x14ac:dyDescent="0.2">
      <c r="A5" s="71">
        <v>9</v>
      </c>
      <c r="B5" s="71" t="s">
        <v>121</v>
      </c>
      <c r="C5" s="71" t="s">
        <v>66</v>
      </c>
      <c r="D5" s="72" t="s">
        <v>138</v>
      </c>
      <c r="E5" s="38">
        <v>23.919470815067136</v>
      </c>
      <c r="F5" s="38">
        <v>61.059972981916658</v>
      </c>
      <c r="G5" s="38">
        <v>96.66693986321188</v>
      </c>
      <c r="H5" s="38">
        <v>13.590508651016686</v>
      </c>
      <c r="I5" s="38">
        <v>98.94</v>
      </c>
      <c r="J5" s="15">
        <f t="shared" si="0"/>
        <v>58.835378462242467</v>
      </c>
      <c r="K5" s="16">
        <v>4</v>
      </c>
      <c r="L5" s="13">
        <v>4</v>
      </c>
      <c r="M5" s="77">
        <f t="shared" si="1"/>
        <v>0</v>
      </c>
    </row>
    <row r="6" spans="1:13" ht="16.5" customHeight="1" x14ac:dyDescent="0.2">
      <c r="A6" s="71">
        <v>2</v>
      </c>
      <c r="B6" s="71" t="s">
        <v>121</v>
      </c>
      <c r="C6" s="71" t="s">
        <v>30</v>
      </c>
      <c r="D6" s="72" t="s">
        <v>133</v>
      </c>
      <c r="E6" s="38">
        <v>52.794283053391453</v>
      </c>
      <c r="F6" s="38">
        <v>30.532620890880612</v>
      </c>
      <c r="G6" s="38">
        <v>98.124599891891208</v>
      </c>
      <c r="H6" s="38">
        <v>10.001505276204114</v>
      </c>
      <c r="I6" s="38">
        <v>99.71</v>
      </c>
      <c r="J6" s="15">
        <f t="shared" si="0"/>
        <v>58.232601822473477</v>
      </c>
      <c r="K6" s="16">
        <v>5</v>
      </c>
      <c r="L6" s="13">
        <v>1</v>
      </c>
      <c r="M6" s="77">
        <f t="shared" si="1"/>
        <v>-4</v>
      </c>
    </row>
    <row r="7" spans="1:13" ht="21" customHeight="1" x14ac:dyDescent="0.2">
      <c r="A7" s="71">
        <v>12</v>
      </c>
      <c r="B7" s="71" t="s">
        <v>121</v>
      </c>
      <c r="C7" s="71" t="s">
        <v>5</v>
      </c>
      <c r="D7" s="72" t="s">
        <v>135</v>
      </c>
      <c r="E7" s="38">
        <v>35.252537711001239</v>
      </c>
      <c r="F7" s="38">
        <v>48.585251731407858</v>
      </c>
      <c r="G7" s="38">
        <v>98.753115670600735</v>
      </c>
      <c r="H7" s="38">
        <v>5.3997851176654077</v>
      </c>
      <c r="I7" s="38">
        <v>99</v>
      </c>
      <c r="J7" s="15">
        <f t="shared" si="0"/>
        <v>57.398138046135045</v>
      </c>
      <c r="K7" s="16">
        <v>6</v>
      </c>
      <c r="L7" s="13">
        <f>VLOOKUP(C7,'Final Ranking Oct'!C2:K51,9,0)</f>
        <v>12</v>
      </c>
      <c r="M7" s="77">
        <f t="shared" si="1"/>
        <v>6</v>
      </c>
    </row>
    <row r="8" spans="1:13" ht="15.75" customHeight="1" x14ac:dyDescent="0.2">
      <c r="A8" s="71">
        <v>3</v>
      </c>
      <c r="B8" s="71" t="s">
        <v>121</v>
      </c>
      <c r="C8" s="71" t="s">
        <v>28</v>
      </c>
      <c r="D8" s="72" t="s">
        <v>125</v>
      </c>
      <c r="E8" s="38">
        <v>36.50145017198485</v>
      </c>
      <c r="F8" s="38">
        <v>43.495408506047426</v>
      </c>
      <c r="G8" s="38">
        <v>99.198277907537317</v>
      </c>
      <c r="H8" s="38">
        <v>4.2176633757082573</v>
      </c>
      <c r="I8" s="38">
        <v>100</v>
      </c>
      <c r="J8" s="15">
        <f t="shared" si="0"/>
        <v>56.682559992255577</v>
      </c>
      <c r="K8" s="16">
        <v>7</v>
      </c>
      <c r="L8" s="13">
        <v>3</v>
      </c>
      <c r="M8" s="77">
        <f t="shared" si="1"/>
        <v>-4</v>
      </c>
    </row>
    <row r="9" spans="1:13" ht="20.25" customHeight="1" x14ac:dyDescent="0.2">
      <c r="A9" s="71">
        <v>1</v>
      </c>
      <c r="B9" s="71" t="s">
        <v>121</v>
      </c>
      <c r="C9" s="71" t="s">
        <v>9</v>
      </c>
      <c r="D9" s="72" t="s">
        <v>129</v>
      </c>
      <c r="E9" s="38">
        <v>27.445458490742819</v>
      </c>
      <c r="F9" s="38">
        <v>57.815698258742387</v>
      </c>
      <c r="G9" s="38">
        <v>93.963657858083096</v>
      </c>
      <c r="H9" s="38">
        <v>4.3192789169019505</v>
      </c>
      <c r="I9" s="38">
        <v>98.19</v>
      </c>
      <c r="J9" s="15">
        <f t="shared" si="0"/>
        <v>56.346818704894055</v>
      </c>
      <c r="K9" s="16">
        <v>8</v>
      </c>
      <c r="L9" s="13">
        <f>VLOOKUP(C9,'Final Ranking Oct'!C5:K54,9,0)</f>
        <v>6</v>
      </c>
      <c r="M9" s="77">
        <f t="shared" si="1"/>
        <v>-2</v>
      </c>
    </row>
    <row r="10" spans="1:13" ht="23.25" customHeight="1" x14ac:dyDescent="0.2">
      <c r="A10" s="71">
        <v>14</v>
      </c>
      <c r="B10" s="71" t="s">
        <v>121</v>
      </c>
      <c r="C10" s="71" t="s">
        <v>18</v>
      </c>
      <c r="D10" s="72" t="s">
        <v>136</v>
      </c>
      <c r="E10" s="38">
        <v>24.469834448240057</v>
      </c>
      <c r="F10" s="38">
        <v>48.641250752261847</v>
      </c>
      <c r="G10" s="38">
        <v>95.258081540031768</v>
      </c>
      <c r="H10" s="38">
        <v>11.273235596529533</v>
      </c>
      <c r="I10" s="38">
        <v>97</v>
      </c>
      <c r="J10" s="15">
        <f t="shared" si="0"/>
        <v>55.328480467412646</v>
      </c>
      <c r="K10" s="16">
        <v>9</v>
      </c>
      <c r="L10" s="13">
        <v>5</v>
      </c>
      <c r="M10" s="77">
        <f t="shared" si="1"/>
        <v>-4</v>
      </c>
    </row>
    <row r="11" spans="1:13" ht="21" customHeight="1" x14ac:dyDescent="0.2">
      <c r="A11" s="71">
        <v>11</v>
      </c>
      <c r="B11" s="71" t="s">
        <v>121</v>
      </c>
      <c r="C11" s="71" t="s">
        <v>11</v>
      </c>
      <c r="D11" s="72" t="s">
        <v>126</v>
      </c>
      <c r="E11" s="38">
        <v>24.824023192914037</v>
      </c>
      <c r="F11" s="38">
        <v>50.851671383931404</v>
      </c>
      <c r="G11" s="38">
        <v>96.51087773596349</v>
      </c>
      <c r="H11" s="38">
        <v>5.3200098989372018</v>
      </c>
      <c r="I11" s="38">
        <v>97.23</v>
      </c>
      <c r="J11" s="15">
        <f t="shared" si="0"/>
        <v>54.947316442349234</v>
      </c>
      <c r="K11" s="16">
        <v>10</v>
      </c>
      <c r="L11" s="13">
        <f>VLOOKUP(C11,'Final Ranking Oct'!C6:K55,9,0)</f>
        <v>10</v>
      </c>
      <c r="M11" s="77">
        <f t="shared" si="1"/>
        <v>0</v>
      </c>
    </row>
    <row r="12" spans="1:13" ht="20.25" customHeight="1" x14ac:dyDescent="0.2">
      <c r="A12" s="71">
        <v>13</v>
      </c>
      <c r="B12" s="71" t="s">
        <v>121</v>
      </c>
      <c r="C12" s="71" t="s">
        <v>91</v>
      </c>
      <c r="D12" s="72" t="s">
        <v>130</v>
      </c>
      <c r="E12" s="38">
        <v>17.78419064344126</v>
      </c>
      <c r="F12" s="38">
        <v>51.953552247531611</v>
      </c>
      <c r="G12" s="38">
        <v>96.496248832132309</v>
      </c>
      <c r="H12" s="38">
        <v>5.3238110696315522</v>
      </c>
      <c r="I12" s="38">
        <v>97.5</v>
      </c>
      <c r="J12" s="15">
        <f t="shared" si="0"/>
        <v>53.811560558547356</v>
      </c>
      <c r="K12" s="16">
        <v>11</v>
      </c>
      <c r="L12" s="13">
        <v>14</v>
      </c>
      <c r="M12" s="77">
        <f t="shared" si="1"/>
        <v>3</v>
      </c>
    </row>
    <row r="13" spans="1:13" ht="23.25" customHeight="1" x14ac:dyDescent="0.2">
      <c r="A13" s="71">
        <v>7</v>
      </c>
      <c r="B13" s="71" t="s">
        <v>121</v>
      </c>
      <c r="C13" s="71" t="s">
        <v>81</v>
      </c>
      <c r="D13" s="72" t="s">
        <v>127</v>
      </c>
      <c r="E13" s="38">
        <v>32.611289752882655</v>
      </c>
      <c r="F13" s="38">
        <v>51.433135170097621</v>
      </c>
      <c r="G13" s="38">
        <v>98.446693607314188</v>
      </c>
      <c r="H13" s="38">
        <v>4.2264168787145318</v>
      </c>
      <c r="I13" s="38">
        <v>76.7</v>
      </c>
      <c r="J13" s="15">
        <f t="shared" si="0"/>
        <v>52.683507081801807</v>
      </c>
      <c r="K13" s="16">
        <v>12</v>
      </c>
      <c r="L13" s="13">
        <f>VLOOKUP(C13,'Final Ranking Oct'!C13:K62,9,0)</f>
        <v>13</v>
      </c>
      <c r="M13" s="77">
        <f t="shared" si="1"/>
        <v>1</v>
      </c>
    </row>
    <row r="14" spans="1:13" ht="22.5" customHeight="1" x14ac:dyDescent="0.2">
      <c r="A14" s="71">
        <v>6</v>
      </c>
      <c r="B14" s="71" t="s">
        <v>121</v>
      </c>
      <c r="C14" s="71" t="s">
        <v>87</v>
      </c>
      <c r="D14" s="72" t="s">
        <v>128</v>
      </c>
      <c r="E14" s="38">
        <v>20.718236603444716</v>
      </c>
      <c r="F14" s="38">
        <v>68.003944332221906</v>
      </c>
      <c r="G14" s="38">
        <v>99.458723522703835</v>
      </c>
      <c r="H14" s="38">
        <v>4.8795769861923786</v>
      </c>
      <c r="I14" s="38">
        <v>66.349999999999994</v>
      </c>
      <c r="J14" s="15">
        <f t="shared" si="0"/>
        <v>51.882096288912564</v>
      </c>
      <c r="K14" s="16">
        <v>13</v>
      </c>
      <c r="L14" s="13">
        <v>7</v>
      </c>
      <c r="M14" s="77">
        <f t="shared" si="1"/>
        <v>-6</v>
      </c>
    </row>
    <row r="15" spans="1:13" ht="24.75" customHeight="1" x14ac:dyDescent="0.2">
      <c r="A15" s="71">
        <v>8</v>
      </c>
      <c r="B15" s="71" t="s">
        <v>121</v>
      </c>
      <c r="C15" s="71" t="s">
        <v>40</v>
      </c>
      <c r="D15" s="72" t="s">
        <v>124</v>
      </c>
      <c r="E15" s="38">
        <v>28.940199715703791</v>
      </c>
      <c r="F15" s="38">
        <v>28.204532938851763</v>
      </c>
      <c r="G15" s="38">
        <v>97.272017444947096</v>
      </c>
      <c r="H15" s="38">
        <v>4.9360916588077135</v>
      </c>
      <c r="I15" s="38">
        <v>99.28</v>
      </c>
      <c r="J15" s="15">
        <f t="shared" si="0"/>
        <v>51.726568351662081</v>
      </c>
      <c r="K15" s="16">
        <v>14</v>
      </c>
      <c r="L15" s="13">
        <v>9</v>
      </c>
      <c r="M15" s="77">
        <f t="shared" si="1"/>
        <v>-5</v>
      </c>
    </row>
    <row r="16" spans="1:13" ht="18.75" customHeight="1" x14ac:dyDescent="0.2">
      <c r="A16" s="71">
        <v>15</v>
      </c>
      <c r="B16" s="71" t="s">
        <v>121</v>
      </c>
      <c r="C16" s="71" t="s">
        <v>6</v>
      </c>
      <c r="D16" s="72" t="s">
        <v>134</v>
      </c>
      <c r="E16" s="38">
        <v>37.244594570512604</v>
      </c>
      <c r="F16" s="38">
        <v>35.809795793954045</v>
      </c>
      <c r="G16" s="38">
        <v>98.734005355961486</v>
      </c>
      <c r="H16" s="38">
        <v>3.3752560820803295</v>
      </c>
      <c r="I16" s="38">
        <v>54.07</v>
      </c>
      <c r="J16" s="15">
        <f t="shared" si="0"/>
        <v>45.846730360501695</v>
      </c>
      <c r="K16" s="16">
        <v>15</v>
      </c>
      <c r="L16" s="13">
        <f>VLOOKUP(C16,'Final Ranking Oct'!C3:K52,9,0)</f>
        <v>15</v>
      </c>
      <c r="M16" s="77">
        <f t="shared" si="1"/>
        <v>0</v>
      </c>
    </row>
    <row r="17" spans="1:13" ht="18.75" customHeight="1" x14ac:dyDescent="0.2">
      <c r="A17" s="73">
        <v>16</v>
      </c>
      <c r="B17" s="73" t="s">
        <v>122</v>
      </c>
      <c r="C17" s="73" t="s">
        <v>76</v>
      </c>
      <c r="D17" s="74" t="s">
        <v>153</v>
      </c>
      <c r="E17" s="31">
        <v>20.547046204397741</v>
      </c>
      <c r="F17" s="31">
        <v>80.222843165124928</v>
      </c>
      <c r="G17" s="31">
        <v>96.189873339418625</v>
      </c>
      <c r="H17" s="31">
        <v>100</v>
      </c>
      <c r="I17" s="31">
        <v>99.97</v>
      </c>
      <c r="J17" s="40">
        <f t="shared" si="0"/>
        <v>79.385952541788271</v>
      </c>
      <c r="K17" s="17">
        <v>1</v>
      </c>
      <c r="L17" s="13">
        <v>6</v>
      </c>
      <c r="M17" s="77">
        <f t="shared" si="1"/>
        <v>5</v>
      </c>
    </row>
    <row r="18" spans="1:13" ht="16.5" customHeight="1" x14ac:dyDescent="0.2">
      <c r="A18" s="73">
        <v>18</v>
      </c>
      <c r="B18" s="73" t="s">
        <v>122</v>
      </c>
      <c r="C18" s="73" t="s">
        <v>22</v>
      </c>
      <c r="D18" s="74" t="s">
        <v>148</v>
      </c>
      <c r="E18" s="31">
        <v>100</v>
      </c>
      <c r="F18" s="31">
        <v>100</v>
      </c>
      <c r="G18" s="31">
        <v>99.496254232614689</v>
      </c>
      <c r="H18" s="31">
        <v>3.9115148233482699</v>
      </c>
      <c r="I18" s="31">
        <v>91.03</v>
      </c>
      <c r="J18" s="40">
        <f t="shared" si="0"/>
        <v>78.887553811192589</v>
      </c>
      <c r="K18" s="17">
        <v>2</v>
      </c>
      <c r="L18" s="13">
        <v>1</v>
      </c>
      <c r="M18" s="77">
        <f t="shared" si="1"/>
        <v>-1</v>
      </c>
    </row>
    <row r="19" spans="1:13" x14ac:dyDescent="0.2">
      <c r="A19" s="73">
        <v>17</v>
      </c>
      <c r="B19" s="73" t="s">
        <v>122</v>
      </c>
      <c r="C19" s="73" t="s">
        <v>47</v>
      </c>
      <c r="D19" s="74" t="s">
        <v>141</v>
      </c>
      <c r="E19" s="31">
        <v>49.931932808386357</v>
      </c>
      <c r="F19" s="31">
        <v>88.396585967342787</v>
      </c>
      <c r="G19" s="31">
        <v>96.487594916102154</v>
      </c>
      <c r="H19" s="31">
        <v>34.422969810951734</v>
      </c>
      <c r="I19" s="31">
        <v>97.56</v>
      </c>
      <c r="J19" s="40">
        <f t="shared" si="0"/>
        <v>73.359816700556607</v>
      </c>
      <c r="K19" s="17">
        <v>3</v>
      </c>
      <c r="L19" s="13">
        <v>8</v>
      </c>
      <c r="M19" s="77">
        <f t="shared" si="1"/>
        <v>5</v>
      </c>
    </row>
    <row r="20" spans="1:13" ht="20.25" customHeight="1" x14ac:dyDescent="0.2">
      <c r="A20" s="73">
        <v>20</v>
      </c>
      <c r="B20" s="73" t="s">
        <v>122</v>
      </c>
      <c r="C20" s="73" t="s">
        <v>26</v>
      </c>
      <c r="D20" s="74" t="s">
        <v>139</v>
      </c>
      <c r="E20" s="31">
        <v>58.224426392516548</v>
      </c>
      <c r="F20" s="31">
        <v>41.001485421285928</v>
      </c>
      <c r="G20" s="31">
        <v>96.858392659930374</v>
      </c>
      <c r="H20" s="31">
        <v>18.888777414370846</v>
      </c>
      <c r="I20" s="31">
        <v>97.09</v>
      </c>
      <c r="J20" s="40">
        <f t="shared" si="0"/>
        <v>62.412616377620751</v>
      </c>
      <c r="K20" s="17">
        <v>4</v>
      </c>
      <c r="L20" s="13">
        <v>3</v>
      </c>
      <c r="M20" s="77">
        <f t="shared" si="1"/>
        <v>-1</v>
      </c>
    </row>
    <row r="21" spans="1:13" ht="21.75" customHeight="1" x14ac:dyDescent="0.2">
      <c r="A21" s="73">
        <v>19</v>
      </c>
      <c r="B21" s="73" t="s">
        <v>122</v>
      </c>
      <c r="C21" s="73" t="s">
        <v>53</v>
      </c>
      <c r="D21" s="74" t="s">
        <v>149</v>
      </c>
      <c r="E21" s="31">
        <v>43.479283725984821</v>
      </c>
      <c r="F21" s="31">
        <v>70.991558973607638</v>
      </c>
      <c r="G21" s="31">
        <v>96.527435306599813</v>
      </c>
      <c r="H21" s="31">
        <v>6.94258086556981</v>
      </c>
      <c r="I21" s="31">
        <v>91.7</v>
      </c>
      <c r="J21" s="40">
        <f t="shared" si="0"/>
        <v>61.928171774352414</v>
      </c>
      <c r="K21" s="17">
        <v>5</v>
      </c>
      <c r="L21" s="13">
        <v>4</v>
      </c>
      <c r="M21" s="77">
        <f t="shared" si="1"/>
        <v>-1</v>
      </c>
    </row>
    <row r="22" spans="1:13" ht="21" customHeight="1" x14ac:dyDescent="0.2">
      <c r="A22" s="73">
        <v>23</v>
      </c>
      <c r="B22" s="73" t="s">
        <v>122</v>
      </c>
      <c r="C22" s="73" t="s">
        <v>36</v>
      </c>
      <c r="D22" s="74" t="s">
        <v>143</v>
      </c>
      <c r="E22" s="31">
        <v>36.334529675151508</v>
      </c>
      <c r="F22" s="31">
        <v>69.557384471966969</v>
      </c>
      <c r="G22" s="31">
        <v>98.60299707351146</v>
      </c>
      <c r="H22" s="31">
        <v>5.0694995414781916</v>
      </c>
      <c r="I22" s="31">
        <v>97.93</v>
      </c>
      <c r="J22" s="40">
        <f t="shared" si="0"/>
        <v>61.498882152421629</v>
      </c>
      <c r="K22" s="17">
        <v>6</v>
      </c>
      <c r="L22" s="13">
        <v>5</v>
      </c>
      <c r="M22" s="77">
        <f t="shared" si="1"/>
        <v>-1</v>
      </c>
    </row>
    <row r="23" spans="1:13" ht="21" customHeight="1" x14ac:dyDescent="0.2">
      <c r="A23" s="73">
        <v>26</v>
      </c>
      <c r="B23" s="73" t="s">
        <v>122</v>
      </c>
      <c r="C23" s="73" t="s">
        <v>13</v>
      </c>
      <c r="D23" s="74" t="s">
        <v>150</v>
      </c>
      <c r="E23" s="31">
        <v>35.129494355374256</v>
      </c>
      <c r="F23" s="31">
        <v>53.522487471426174</v>
      </c>
      <c r="G23" s="31">
        <v>98.979287514910482</v>
      </c>
      <c r="H23" s="31">
        <v>7.1207692633540889</v>
      </c>
      <c r="I23" s="31">
        <v>100</v>
      </c>
      <c r="J23" s="40">
        <f t="shared" si="0"/>
        <v>58.950407721012994</v>
      </c>
      <c r="K23" s="17">
        <v>7</v>
      </c>
      <c r="L23" s="13">
        <f>VLOOKUP(C23,'Final Ranking Oct'!C17:K66,9,0)</f>
        <v>12</v>
      </c>
      <c r="M23" s="77">
        <f t="shared" si="1"/>
        <v>5</v>
      </c>
    </row>
    <row r="24" spans="1:13" ht="21.75" customHeight="1" x14ac:dyDescent="0.2">
      <c r="A24" s="73">
        <v>27</v>
      </c>
      <c r="B24" s="73" t="s">
        <v>122</v>
      </c>
      <c r="C24" s="73" t="s">
        <v>51</v>
      </c>
      <c r="D24" s="74" t="s">
        <v>147</v>
      </c>
      <c r="E24" s="31">
        <v>31.958874892069467</v>
      </c>
      <c r="F24" s="31">
        <v>61.017659170169615</v>
      </c>
      <c r="G24" s="31">
        <v>95.548070555909817</v>
      </c>
      <c r="H24" s="31">
        <v>6.1902730052288337</v>
      </c>
      <c r="I24" s="31">
        <v>95.42</v>
      </c>
      <c r="J24" s="40">
        <f t="shared" si="0"/>
        <v>58.026975524675549</v>
      </c>
      <c r="K24" s="17">
        <v>8</v>
      </c>
      <c r="L24" s="13">
        <f>VLOOKUP(C24,'Final Ranking Oct'!C26:K75,9,0)</f>
        <v>10</v>
      </c>
      <c r="M24" s="77">
        <f t="shared" si="1"/>
        <v>2</v>
      </c>
    </row>
    <row r="25" spans="1:13" ht="17.25" customHeight="1" x14ac:dyDescent="0.2">
      <c r="A25" s="73">
        <v>30</v>
      </c>
      <c r="B25" s="73" t="s">
        <v>122</v>
      </c>
      <c r="C25" s="73" t="s">
        <v>93</v>
      </c>
      <c r="D25" s="74" t="s">
        <v>142</v>
      </c>
      <c r="E25" s="31">
        <v>19.550396193275528</v>
      </c>
      <c r="F25" s="31">
        <v>65.491474954973114</v>
      </c>
      <c r="G25" s="31">
        <v>96.060824756179741</v>
      </c>
      <c r="H25" s="31">
        <v>6.2523827678231028</v>
      </c>
      <c r="I25" s="31">
        <v>100</v>
      </c>
      <c r="J25" s="40">
        <f t="shared" si="0"/>
        <v>57.47101573445029</v>
      </c>
      <c r="K25" s="17">
        <v>9</v>
      </c>
      <c r="L25" s="13">
        <v>11</v>
      </c>
      <c r="M25" s="77">
        <f t="shared" si="1"/>
        <v>2</v>
      </c>
    </row>
    <row r="26" spans="1:13" ht="18.75" customHeight="1" x14ac:dyDescent="0.2">
      <c r="A26" s="73">
        <v>21</v>
      </c>
      <c r="B26" s="73" t="s">
        <v>122</v>
      </c>
      <c r="C26" s="73" t="s">
        <v>79</v>
      </c>
      <c r="D26" s="74" t="s">
        <v>146</v>
      </c>
      <c r="E26" s="31">
        <v>29.774278456784621</v>
      </c>
      <c r="F26" s="31">
        <v>50.635994672330277</v>
      </c>
      <c r="G26" s="31">
        <v>96.071353609524792</v>
      </c>
      <c r="H26" s="31">
        <v>6.5365819845423347</v>
      </c>
      <c r="I26" s="31">
        <v>100</v>
      </c>
      <c r="J26" s="40">
        <f t="shared" si="0"/>
        <v>56.603641744636413</v>
      </c>
      <c r="K26" s="17">
        <v>10</v>
      </c>
      <c r="L26" s="13">
        <v>9</v>
      </c>
      <c r="M26" s="77">
        <f t="shared" si="1"/>
        <v>-1</v>
      </c>
    </row>
    <row r="27" spans="1:13" ht="18" customHeight="1" x14ac:dyDescent="0.2">
      <c r="A27" s="73">
        <v>28</v>
      </c>
      <c r="B27" s="73" t="s">
        <v>122</v>
      </c>
      <c r="C27" s="73" t="s">
        <v>20</v>
      </c>
      <c r="D27" s="74" t="s">
        <v>152</v>
      </c>
      <c r="E27" s="31">
        <v>38.914485206054508</v>
      </c>
      <c r="F27" s="31">
        <v>44.929317979046907</v>
      </c>
      <c r="G27" s="31">
        <v>97.995028922168643</v>
      </c>
      <c r="H27" s="31">
        <v>5.6407366274925819</v>
      </c>
      <c r="I27" s="31">
        <v>93.29</v>
      </c>
      <c r="J27" s="40">
        <f t="shared" si="0"/>
        <v>56.153913746952526</v>
      </c>
      <c r="K27" s="17">
        <v>11</v>
      </c>
      <c r="L27" s="13">
        <f>VLOOKUP(C27,'Final Ranking Oct'!C18:K67,9,0)</f>
        <v>13</v>
      </c>
      <c r="M27" s="77">
        <f t="shared" si="1"/>
        <v>2</v>
      </c>
    </row>
    <row r="28" spans="1:13" ht="15.75" customHeight="1" x14ac:dyDescent="0.2">
      <c r="A28" s="73">
        <v>24</v>
      </c>
      <c r="B28" s="73" t="s">
        <v>122</v>
      </c>
      <c r="C28" s="73" t="s">
        <v>61</v>
      </c>
      <c r="D28" s="74" t="s">
        <v>151</v>
      </c>
      <c r="E28" s="31">
        <v>23.287035078714872</v>
      </c>
      <c r="F28" s="31">
        <v>63.360875732904297</v>
      </c>
      <c r="G28" s="31">
        <v>96.530500554714465</v>
      </c>
      <c r="H28" s="31">
        <v>7.0148684712161655</v>
      </c>
      <c r="I28" s="31">
        <v>88.36</v>
      </c>
      <c r="J28" s="40">
        <f t="shared" si="0"/>
        <v>55.710655967509965</v>
      </c>
      <c r="K28" s="17">
        <v>12</v>
      </c>
      <c r="L28" s="13">
        <f>VLOOKUP(C28,'Final Ranking Oct'!C28:K77,9,0)</f>
        <v>14</v>
      </c>
      <c r="M28" s="77">
        <f t="shared" si="1"/>
        <v>2</v>
      </c>
    </row>
    <row r="29" spans="1:13" ht="21" customHeight="1" x14ac:dyDescent="0.2">
      <c r="A29" s="73">
        <v>25</v>
      </c>
      <c r="B29" s="73" t="s">
        <v>122</v>
      </c>
      <c r="C29" s="73" t="s">
        <v>32</v>
      </c>
      <c r="D29" s="74" t="s">
        <v>145</v>
      </c>
      <c r="E29" s="31">
        <v>28.553821609132623</v>
      </c>
      <c r="F29" s="31">
        <v>77.640443159231893</v>
      </c>
      <c r="G29" s="31">
        <v>94.323322013392712</v>
      </c>
      <c r="H29" s="31">
        <v>4.2141059855127709</v>
      </c>
      <c r="I29" s="31">
        <v>69.349999999999994</v>
      </c>
      <c r="J29" s="40">
        <f t="shared" si="0"/>
        <v>54.816338553454003</v>
      </c>
      <c r="K29" s="17">
        <v>13</v>
      </c>
      <c r="L29" s="13">
        <f>VLOOKUP(C29,'Final Ranking Oct'!C21:K70,9,0)</f>
        <v>7</v>
      </c>
      <c r="M29" s="77">
        <f t="shared" si="1"/>
        <v>-6</v>
      </c>
    </row>
    <row r="30" spans="1:13" ht="15.75" customHeight="1" x14ac:dyDescent="0.2">
      <c r="A30" s="73">
        <v>29</v>
      </c>
      <c r="B30" s="73" t="s">
        <v>122</v>
      </c>
      <c r="C30" s="73" t="s">
        <v>38</v>
      </c>
      <c r="D30" s="74" t="s">
        <v>140</v>
      </c>
      <c r="E30" s="31">
        <v>24.269326448083568</v>
      </c>
      <c r="F30" s="31">
        <v>33.020029810381388</v>
      </c>
      <c r="G30" s="31">
        <v>98.334397246239121</v>
      </c>
      <c r="H30" s="31">
        <v>6.2962591381236166</v>
      </c>
      <c r="I30" s="31">
        <v>96.56</v>
      </c>
      <c r="J30" s="40">
        <f t="shared" si="0"/>
        <v>51.696002528565529</v>
      </c>
      <c r="K30" s="17">
        <v>14</v>
      </c>
      <c r="L30" s="13">
        <f>VLOOKUP(C30,'Final Ranking Oct'!C24:K73,9,0)</f>
        <v>15</v>
      </c>
      <c r="M30" s="77">
        <f t="shared" si="1"/>
        <v>1</v>
      </c>
    </row>
    <row r="31" spans="1:13" ht="31.5" customHeight="1" x14ac:dyDescent="0.2">
      <c r="A31" s="73">
        <v>22</v>
      </c>
      <c r="B31" s="73" t="s">
        <v>122</v>
      </c>
      <c r="C31" s="73" t="s">
        <v>34</v>
      </c>
      <c r="D31" s="74" t="s">
        <v>144</v>
      </c>
      <c r="E31" s="31">
        <v>38.744644230417109</v>
      </c>
      <c r="F31" s="31">
        <v>55.068729240392699</v>
      </c>
      <c r="G31" s="31">
        <v>100</v>
      </c>
      <c r="H31" s="31">
        <v>3.3905956303120308</v>
      </c>
      <c r="I31" s="31">
        <v>0</v>
      </c>
      <c r="J31" s="40">
        <f t="shared" si="0"/>
        <v>39.440793820224364</v>
      </c>
      <c r="K31" s="17">
        <v>15</v>
      </c>
      <c r="L31" s="13">
        <v>2</v>
      </c>
      <c r="M31" s="77">
        <f t="shared" si="1"/>
        <v>-13</v>
      </c>
    </row>
    <row r="32" spans="1:13" x14ac:dyDescent="0.2">
      <c r="A32" s="75">
        <v>41</v>
      </c>
      <c r="B32" s="75" t="s">
        <v>123</v>
      </c>
      <c r="C32" s="75" t="s">
        <v>57</v>
      </c>
      <c r="D32" s="78" t="s">
        <v>160</v>
      </c>
      <c r="E32" s="76">
        <v>29.740359736484852</v>
      </c>
      <c r="F32" s="76">
        <v>87.301904381408974</v>
      </c>
      <c r="G32" s="76">
        <v>93.85927170776462</v>
      </c>
      <c r="H32" s="76">
        <v>4.3899708795353698</v>
      </c>
      <c r="I32" s="76">
        <v>100</v>
      </c>
      <c r="J32" s="41">
        <f t="shared" si="0"/>
        <v>63.058301341038757</v>
      </c>
      <c r="K32" s="18">
        <v>1</v>
      </c>
      <c r="L32" s="13">
        <f>VLOOKUP(C32,'Final Ranking Oct'!C39:K88,9,0)</f>
        <v>13</v>
      </c>
      <c r="M32" s="77">
        <f t="shared" si="1"/>
        <v>12</v>
      </c>
    </row>
    <row r="33" spans="1:13" x14ac:dyDescent="0.2">
      <c r="A33" s="75">
        <v>31</v>
      </c>
      <c r="B33" s="75" t="s">
        <v>123</v>
      </c>
      <c r="C33" s="75" t="s">
        <v>62</v>
      </c>
      <c r="D33" s="78" t="s">
        <v>172</v>
      </c>
      <c r="E33" s="76">
        <v>60.582936955421971</v>
      </c>
      <c r="F33" s="76">
        <v>57.044049095737179</v>
      </c>
      <c r="G33" s="76">
        <v>94.171853913783139</v>
      </c>
      <c r="H33" s="76">
        <v>5.5266597679864926</v>
      </c>
      <c r="I33" s="76">
        <v>90.42</v>
      </c>
      <c r="J33" s="41">
        <f t="shared" si="0"/>
        <v>61.549099946585763</v>
      </c>
      <c r="K33" s="18">
        <v>2</v>
      </c>
      <c r="L33" s="13">
        <v>2</v>
      </c>
      <c r="M33" s="77">
        <f t="shared" si="1"/>
        <v>0</v>
      </c>
    </row>
    <row r="34" spans="1:13" x14ac:dyDescent="0.2">
      <c r="A34" s="75">
        <v>42</v>
      </c>
      <c r="B34" s="75" t="s">
        <v>123</v>
      </c>
      <c r="C34" s="75" t="s">
        <v>49</v>
      </c>
      <c r="D34" s="78" t="s">
        <v>165</v>
      </c>
      <c r="E34" s="76">
        <v>42.460910890131281</v>
      </c>
      <c r="F34" s="76">
        <v>67.422223766263102</v>
      </c>
      <c r="G34" s="76">
        <v>94.62742077854908</v>
      </c>
      <c r="H34" s="76">
        <v>3.5727901530417729</v>
      </c>
      <c r="I34" s="76">
        <v>95.45</v>
      </c>
      <c r="J34" s="41">
        <f t="shared" ref="J34:J51" si="2">AVERAGE(E34:I34)</f>
        <v>60.706669117597052</v>
      </c>
      <c r="K34" s="18">
        <v>3</v>
      </c>
      <c r="L34" s="13">
        <f>VLOOKUP(C34,'Final Ranking Oct'!C37:K86,9,0)</f>
        <v>10</v>
      </c>
      <c r="M34" s="77">
        <f t="shared" ref="M34:M51" si="3">(L34-K34)</f>
        <v>7</v>
      </c>
    </row>
    <row r="35" spans="1:13" x14ac:dyDescent="0.2">
      <c r="A35" s="75">
        <v>33</v>
      </c>
      <c r="B35" s="75" t="s">
        <v>123</v>
      </c>
      <c r="C35" s="75" t="s">
        <v>64</v>
      </c>
      <c r="D35" s="78" t="s">
        <v>166</v>
      </c>
      <c r="E35" s="76">
        <v>42.460910890131281</v>
      </c>
      <c r="F35" s="76">
        <v>30.268881761775368</v>
      </c>
      <c r="G35" s="76">
        <v>93.908736985821534</v>
      </c>
      <c r="H35" s="76">
        <v>36.071439045133289</v>
      </c>
      <c r="I35" s="76">
        <v>100</v>
      </c>
      <c r="J35" s="41">
        <f t="shared" si="2"/>
        <v>60.541993736572294</v>
      </c>
      <c r="K35" s="18">
        <v>4</v>
      </c>
      <c r="L35" s="13">
        <v>4</v>
      </c>
      <c r="M35" s="77">
        <f t="shared" si="3"/>
        <v>0</v>
      </c>
    </row>
    <row r="36" spans="1:13" x14ac:dyDescent="0.2">
      <c r="A36" s="75">
        <v>34</v>
      </c>
      <c r="B36" s="75" t="s">
        <v>123</v>
      </c>
      <c r="C36" s="75" t="s">
        <v>69</v>
      </c>
      <c r="D36" s="78" t="s">
        <v>158</v>
      </c>
      <c r="E36" s="76">
        <v>36.21687365557726</v>
      </c>
      <c r="F36" s="76">
        <v>76.126633854976859</v>
      </c>
      <c r="G36" s="76">
        <v>93.277810554005157</v>
      </c>
      <c r="H36" s="76">
        <v>5.9498481177671456</v>
      </c>
      <c r="I36" s="76">
        <v>91</v>
      </c>
      <c r="J36" s="41">
        <f t="shared" si="2"/>
        <v>60.51423323646528</v>
      </c>
      <c r="K36" s="18">
        <v>5</v>
      </c>
      <c r="L36" s="13">
        <v>8</v>
      </c>
      <c r="M36" s="77">
        <f t="shared" si="3"/>
        <v>3</v>
      </c>
    </row>
    <row r="37" spans="1:13" x14ac:dyDescent="0.2">
      <c r="A37" s="75">
        <v>44</v>
      </c>
      <c r="B37" s="75" t="s">
        <v>123</v>
      </c>
      <c r="C37" s="75" t="s">
        <v>68</v>
      </c>
      <c r="D37" s="78" t="s">
        <v>159</v>
      </c>
      <c r="E37" s="76">
        <v>43.764897156305352</v>
      </c>
      <c r="F37" s="76">
        <v>62.482699332229899</v>
      </c>
      <c r="G37" s="76">
        <v>94.029429389600111</v>
      </c>
      <c r="H37" s="76">
        <v>6.1933980247304321</v>
      </c>
      <c r="I37" s="76">
        <v>91.76</v>
      </c>
      <c r="J37" s="41">
        <f t="shared" si="2"/>
        <v>59.646084780573162</v>
      </c>
      <c r="K37" s="18">
        <v>6</v>
      </c>
      <c r="L37" s="13">
        <v>5</v>
      </c>
      <c r="M37" s="77">
        <f t="shared" si="3"/>
        <v>-1</v>
      </c>
    </row>
    <row r="38" spans="1:13" x14ac:dyDescent="0.2">
      <c r="A38" s="75">
        <v>46</v>
      </c>
      <c r="B38" s="75" t="s">
        <v>123</v>
      </c>
      <c r="C38" s="75" t="s">
        <v>16</v>
      </c>
      <c r="D38" s="78" t="s">
        <v>170</v>
      </c>
      <c r="E38" s="76">
        <v>20.047109719098604</v>
      </c>
      <c r="F38" s="76">
        <v>75.928513443442341</v>
      </c>
      <c r="G38" s="76">
        <v>95.494700566776729</v>
      </c>
      <c r="H38" s="76">
        <v>5.6155660044337123</v>
      </c>
      <c r="I38" s="76">
        <v>100</v>
      </c>
      <c r="J38" s="41">
        <f t="shared" si="2"/>
        <v>59.417177946750279</v>
      </c>
      <c r="K38" s="18">
        <v>7</v>
      </c>
      <c r="L38" s="13">
        <f>VLOOKUP(C38,'Final Ranking Oct'!C33:K82,9,0)</f>
        <v>18</v>
      </c>
      <c r="M38" s="77">
        <f t="shared" si="3"/>
        <v>11</v>
      </c>
    </row>
    <row r="39" spans="1:13" x14ac:dyDescent="0.2">
      <c r="A39" s="75">
        <v>49</v>
      </c>
      <c r="B39" s="75" t="s">
        <v>123</v>
      </c>
      <c r="C39" s="75" t="s">
        <v>74</v>
      </c>
      <c r="D39" s="78" t="s">
        <v>168</v>
      </c>
      <c r="E39" s="76">
        <v>39.196900197553056</v>
      </c>
      <c r="F39" s="76">
        <v>61.531333903273854</v>
      </c>
      <c r="G39" s="76">
        <v>89.586038876662045</v>
      </c>
      <c r="H39" s="76">
        <v>4.390718235830831</v>
      </c>
      <c r="I39" s="76">
        <v>95.59</v>
      </c>
      <c r="J39" s="41">
        <f t="shared" si="2"/>
        <v>58.058998242663961</v>
      </c>
      <c r="K39" s="18">
        <v>8</v>
      </c>
      <c r="L39" s="13">
        <v>15</v>
      </c>
      <c r="M39" s="77">
        <f t="shared" si="3"/>
        <v>7</v>
      </c>
    </row>
    <row r="40" spans="1:13" x14ac:dyDescent="0.2">
      <c r="A40" s="75">
        <v>36</v>
      </c>
      <c r="B40" s="75" t="s">
        <v>123</v>
      </c>
      <c r="C40" s="75" t="s">
        <v>59</v>
      </c>
      <c r="D40" s="78" t="s">
        <v>156</v>
      </c>
      <c r="E40" s="76">
        <v>50.659071788756137</v>
      </c>
      <c r="F40" s="76">
        <v>37.795679667158034</v>
      </c>
      <c r="G40" s="76">
        <v>94.023463714231511</v>
      </c>
      <c r="H40" s="76">
        <v>4.2377260981912146</v>
      </c>
      <c r="I40" s="76">
        <v>100</v>
      </c>
      <c r="J40" s="41">
        <f t="shared" si="2"/>
        <v>57.343188253667378</v>
      </c>
      <c r="K40" s="18">
        <v>9</v>
      </c>
      <c r="L40" s="13">
        <v>7</v>
      </c>
      <c r="M40" s="77">
        <f t="shared" si="3"/>
        <v>-2</v>
      </c>
    </row>
    <row r="41" spans="1:13" x14ac:dyDescent="0.2">
      <c r="A41" s="75">
        <v>32</v>
      </c>
      <c r="B41" s="75" t="s">
        <v>123</v>
      </c>
      <c r="C41" s="75" t="s">
        <v>55</v>
      </c>
      <c r="D41" s="78" t="s">
        <v>154</v>
      </c>
      <c r="E41" s="76">
        <v>33.961476837945575</v>
      </c>
      <c r="F41" s="76">
        <v>48.083945606735327</v>
      </c>
      <c r="G41" s="76">
        <v>94.529949080810255</v>
      </c>
      <c r="H41" s="76">
        <v>5.9753784679828392</v>
      </c>
      <c r="I41" s="76">
        <v>98.25</v>
      </c>
      <c r="J41" s="41">
        <f t="shared" si="2"/>
        <v>56.160149998694806</v>
      </c>
      <c r="K41" s="18">
        <v>10</v>
      </c>
      <c r="L41" s="13">
        <f>VLOOKUP(C41,'Final Ranking Oct'!C38:K87,9,0)</f>
        <v>9</v>
      </c>
      <c r="M41" s="77">
        <f t="shared" si="3"/>
        <v>-1</v>
      </c>
    </row>
    <row r="42" spans="1:13" x14ac:dyDescent="0.2">
      <c r="A42" s="75">
        <v>47</v>
      </c>
      <c r="B42" s="75" t="s">
        <v>123</v>
      </c>
      <c r="C42" s="75" t="s">
        <v>77</v>
      </c>
      <c r="D42" s="78" t="s">
        <v>167</v>
      </c>
      <c r="E42" s="76">
        <v>28.051897679300652</v>
      </c>
      <c r="F42" s="76">
        <v>55.400109517377672</v>
      </c>
      <c r="G42" s="76">
        <v>89.803844381477205</v>
      </c>
      <c r="H42" s="76">
        <v>4.8009367681498825</v>
      </c>
      <c r="I42" s="76">
        <v>100</v>
      </c>
      <c r="J42" s="41">
        <f t="shared" si="2"/>
        <v>55.611357669261089</v>
      </c>
      <c r="K42" s="18">
        <v>11</v>
      </c>
      <c r="L42" s="13">
        <v>14</v>
      </c>
      <c r="M42" s="77">
        <f t="shared" si="3"/>
        <v>3</v>
      </c>
    </row>
    <row r="43" spans="1:13" x14ac:dyDescent="0.2">
      <c r="A43" s="75">
        <v>43</v>
      </c>
      <c r="B43" s="75" t="s">
        <v>123</v>
      </c>
      <c r="C43" s="75" t="s">
        <v>83</v>
      </c>
      <c r="D43" s="78" t="s">
        <v>157</v>
      </c>
      <c r="E43" s="76">
        <v>35.744232818243141</v>
      </c>
      <c r="F43" s="76">
        <v>44.717731209595115</v>
      </c>
      <c r="G43" s="76">
        <v>88.339872432706983</v>
      </c>
      <c r="H43" s="76">
        <v>7.1207692633540889</v>
      </c>
      <c r="I43" s="76">
        <v>100</v>
      </c>
      <c r="J43" s="41">
        <f t="shared" si="2"/>
        <v>55.184521144779865</v>
      </c>
      <c r="K43" s="18">
        <v>12</v>
      </c>
      <c r="L43" s="13">
        <v>16</v>
      </c>
      <c r="M43" s="77">
        <f t="shared" si="3"/>
        <v>4</v>
      </c>
    </row>
    <row r="44" spans="1:13" x14ac:dyDescent="0.2">
      <c r="A44" s="75">
        <v>35</v>
      </c>
      <c r="B44" s="75" t="s">
        <v>123</v>
      </c>
      <c r="C44" s="75" t="s">
        <v>95</v>
      </c>
      <c r="D44" s="78" t="s">
        <v>155</v>
      </c>
      <c r="E44" s="76">
        <v>48.889930521766459</v>
      </c>
      <c r="F44" s="76">
        <v>67.385137834598481</v>
      </c>
      <c r="G44" s="76">
        <v>83.77521373712122</v>
      </c>
      <c r="H44" s="76">
        <v>4.443842297791627</v>
      </c>
      <c r="I44" s="76">
        <v>66.44</v>
      </c>
      <c r="J44" s="41">
        <f t="shared" si="2"/>
        <v>54.186824878255564</v>
      </c>
      <c r="K44" s="18">
        <v>13</v>
      </c>
      <c r="L44" s="13">
        <v>6</v>
      </c>
      <c r="M44" s="77">
        <f t="shared" si="3"/>
        <v>-7</v>
      </c>
    </row>
    <row r="45" spans="1:13" x14ac:dyDescent="0.2">
      <c r="A45" s="75">
        <v>38</v>
      </c>
      <c r="B45" s="75" t="s">
        <v>123</v>
      </c>
      <c r="C45" s="75" t="s">
        <v>85</v>
      </c>
      <c r="D45" s="78" t="s">
        <v>163</v>
      </c>
      <c r="E45" s="76">
        <v>30.070306885775448</v>
      </c>
      <c r="F45" s="76">
        <v>40.508937268297238</v>
      </c>
      <c r="G45" s="76">
        <v>89.321076031767092</v>
      </c>
      <c r="H45" s="76">
        <v>5.7240123930774889</v>
      </c>
      <c r="I45" s="76">
        <v>96.09</v>
      </c>
      <c r="J45" s="41">
        <f t="shared" si="2"/>
        <v>52.342866515783456</v>
      </c>
      <c r="K45" s="18">
        <v>14</v>
      </c>
      <c r="L45" s="13">
        <v>12</v>
      </c>
      <c r="M45" s="77">
        <f t="shared" si="3"/>
        <v>-2</v>
      </c>
    </row>
    <row r="46" spans="1:13" x14ac:dyDescent="0.2">
      <c r="A46" s="75">
        <v>39</v>
      </c>
      <c r="B46" s="75" t="s">
        <v>123</v>
      </c>
      <c r="C46" s="75" t="s">
        <v>42</v>
      </c>
      <c r="D46" s="78" t="s">
        <v>164</v>
      </c>
      <c r="E46" s="76">
        <v>32.006445233822831</v>
      </c>
      <c r="F46" s="76">
        <v>51.005392513755069</v>
      </c>
      <c r="G46" s="76">
        <v>95.538452347089262</v>
      </c>
      <c r="H46" s="76">
        <v>7.5396380435513883</v>
      </c>
      <c r="I46" s="76">
        <v>75.58</v>
      </c>
      <c r="J46" s="41">
        <f t="shared" si="2"/>
        <v>52.333985627643713</v>
      </c>
      <c r="K46" s="18">
        <v>15</v>
      </c>
      <c r="L46" s="13">
        <f>VLOOKUP(C46,'Final Ranking Oct'!C34:K83,9,0)</f>
        <v>11</v>
      </c>
      <c r="M46" s="77">
        <f t="shared" si="3"/>
        <v>-4</v>
      </c>
    </row>
    <row r="47" spans="1:13" x14ac:dyDescent="0.2">
      <c r="A47" s="75">
        <v>48</v>
      </c>
      <c r="B47" s="75" t="s">
        <v>123</v>
      </c>
      <c r="C47" s="75" t="s">
        <v>45</v>
      </c>
      <c r="D47" s="78" t="s">
        <v>162</v>
      </c>
      <c r="E47" s="76">
        <v>39.358423179421457</v>
      </c>
      <c r="F47" s="76">
        <v>75.549340791050739</v>
      </c>
      <c r="G47" s="76">
        <v>95.196856600399897</v>
      </c>
      <c r="H47" s="76">
        <v>5.530953986920438</v>
      </c>
      <c r="I47" s="76">
        <v>33.85</v>
      </c>
      <c r="J47" s="41">
        <f t="shared" si="2"/>
        <v>49.897114911558511</v>
      </c>
      <c r="K47" s="18">
        <v>16</v>
      </c>
      <c r="L47" s="13">
        <f>VLOOKUP(C47,'Final Ranking Oct'!C36:K85,9,0)</f>
        <v>19</v>
      </c>
      <c r="M47" s="77">
        <f t="shared" si="3"/>
        <v>3</v>
      </c>
    </row>
    <row r="48" spans="1:13" x14ac:dyDescent="0.2">
      <c r="A48" s="75">
        <v>45</v>
      </c>
      <c r="B48" s="75" t="s">
        <v>123</v>
      </c>
      <c r="C48" s="75" t="s">
        <v>43</v>
      </c>
      <c r="D48" s="78" t="s">
        <v>169</v>
      </c>
      <c r="E48" s="76">
        <v>42.638679426874553</v>
      </c>
      <c r="F48" s="76">
        <v>55.416474913647932</v>
      </c>
      <c r="G48" s="76">
        <v>95.226937275262159</v>
      </c>
      <c r="H48" s="76">
        <v>4.0805024379477102</v>
      </c>
      <c r="I48" s="76">
        <v>51.32</v>
      </c>
      <c r="J48" s="41">
        <f t="shared" si="2"/>
        <v>49.73651881074646</v>
      </c>
      <c r="K48" s="18">
        <v>17</v>
      </c>
      <c r="L48" s="13">
        <f>VLOOKUP(C48,'Final Ranking Oct'!C35:K84,9,0)</f>
        <v>17</v>
      </c>
      <c r="M48" s="77">
        <f t="shared" si="3"/>
        <v>0</v>
      </c>
    </row>
    <row r="49" spans="1:13" x14ac:dyDescent="0.2">
      <c r="A49" s="75">
        <v>37</v>
      </c>
      <c r="B49" s="75" t="s">
        <v>123</v>
      </c>
      <c r="C49" s="75" t="s">
        <v>72</v>
      </c>
      <c r="D49" s="78" t="s">
        <v>171</v>
      </c>
      <c r="E49" s="76">
        <v>34.595994334255117</v>
      </c>
      <c r="F49" s="76">
        <v>21.15059344293806</v>
      </c>
      <c r="G49" s="76">
        <v>90.056705509975671</v>
      </c>
      <c r="H49" s="76">
        <v>4.9870195886208082</v>
      </c>
      <c r="I49" s="76">
        <v>80.209999999999994</v>
      </c>
      <c r="J49" s="41">
        <f t="shared" si="2"/>
        <v>46.200062575157929</v>
      </c>
      <c r="K49" s="18">
        <v>18</v>
      </c>
      <c r="L49" s="13">
        <v>3</v>
      </c>
      <c r="M49" s="77">
        <f t="shared" si="3"/>
        <v>-15</v>
      </c>
    </row>
    <row r="50" spans="1:13" x14ac:dyDescent="0.2">
      <c r="A50" s="75">
        <v>40</v>
      </c>
      <c r="B50" s="75" t="s">
        <v>123</v>
      </c>
      <c r="C50" s="75" t="s">
        <v>71</v>
      </c>
      <c r="D50" s="78" t="s">
        <v>161</v>
      </c>
      <c r="E50" s="76">
        <v>27.758894722547655</v>
      </c>
      <c r="F50" s="76">
        <v>27.356172592888534</v>
      </c>
      <c r="G50" s="76">
        <v>90.80451440619936</v>
      </c>
      <c r="H50" s="76">
        <v>7.871303305920156</v>
      </c>
      <c r="I50" s="76">
        <v>72.290000000000006</v>
      </c>
      <c r="J50" s="41">
        <f t="shared" si="2"/>
        <v>45.216177005511142</v>
      </c>
      <c r="K50" s="18">
        <v>19</v>
      </c>
      <c r="L50" s="13">
        <v>2</v>
      </c>
      <c r="M50" s="77">
        <f t="shared" si="3"/>
        <v>-17</v>
      </c>
    </row>
    <row r="51" spans="1:13" x14ac:dyDescent="0.2">
      <c r="A51" s="75">
        <v>50</v>
      </c>
      <c r="B51" s="75" t="s">
        <v>123</v>
      </c>
      <c r="C51" s="75" t="s">
        <v>14</v>
      </c>
      <c r="D51" s="78" t="s">
        <v>173</v>
      </c>
      <c r="E51" s="76">
        <v>27.075512364546565</v>
      </c>
      <c r="F51" s="76">
        <v>42.307630842988416</v>
      </c>
      <c r="G51" s="76">
        <v>95.595303236905394</v>
      </c>
      <c r="H51" s="76">
        <v>4.9498030245266236</v>
      </c>
      <c r="I51" s="76">
        <v>0</v>
      </c>
      <c r="J51" s="41">
        <f t="shared" si="2"/>
        <v>33.985649893793401</v>
      </c>
      <c r="K51" s="18">
        <v>20</v>
      </c>
      <c r="L51" s="13">
        <f>VLOOKUP(C51,'Final Ranking Oct'!C32:K81,9,0)</f>
        <v>20</v>
      </c>
      <c r="M51" s="77">
        <f t="shared" si="3"/>
        <v>0</v>
      </c>
    </row>
  </sheetData>
  <sortState xmlns:xlrd2="http://schemas.microsoft.com/office/spreadsheetml/2017/richdata2" ref="C32:J51">
    <sortCondition descending="1" ref="J32:J51"/>
  </sortState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383AE-97AA-4659-B531-DCFB014D6155}">
  <dimension ref="A1:L51"/>
  <sheetViews>
    <sheetView workbookViewId="0">
      <selection sqref="A1:L51"/>
    </sheetView>
  </sheetViews>
  <sheetFormatPr baseColWidth="10" defaultColWidth="8.83203125" defaultRowHeight="15" x14ac:dyDescent="0.2"/>
  <cols>
    <col min="4" max="4" width="15.1640625" customWidth="1"/>
  </cols>
  <sheetData>
    <row r="1" spans="1:12" ht="45" x14ac:dyDescent="0.2">
      <c r="A1" s="69" t="s">
        <v>97</v>
      </c>
      <c r="B1" s="69" t="s">
        <v>120</v>
      </c>
      <c r="C1" s="69" t="s">
        <v>176</v>
      </c>
      <c r="D1" s="70" t="s">
        <v>174</v>
      </c>
      <c r="E1" s="14" t="s">
        <v>116</v>
      </c>
      <c r="F1" s="14" t="s">
        <v>117</v>
      </c>
      <c r="G1" s="14" t="s">
        <v>118</v>
      </c>
      <c r="H1" s="14" t="s">
        <v>245</v>
      </c>
      <c r="I1" s="14" t="s">
        <v>246</v>
      </c>
      <c r="J1" s="7" t="s">
        <v>119</v>
      </c>
      <c r="K1" s="14" t="s">
        <v>236</v>
      </c>
      <c r="L1" s="14" t="s">
        <v>237</v>
      </c>
    </row>
    <row r="2" spans="1:12" x14ac:dyDescent="0.2">
      <c r="A2" s="71">
        <v>2</v>
      </c>
      <c r="B2" s="71" t="s">
        <v>121</v>
      </c>
      <c r="C2" s="71" t="s">
        <v>30</v>
      </c>
      <c r="D2" s="72" t="s">
        <v>133</v>
      </c>
      <c r="E2" s="38">
        <f>VLOOKUP(C2,'[1]sarathi pendency OCT 2021'!$B$2:$G$51,6,0)</f>
        <v>57.761857014530364</v>
      </c>
      <c r="F2" s="38">
        <f>VLOOKUP(C2,'[1]vahan pendency_oct2021'!$C$2:$H$51,6,0)</f>
        <v>49.265514239522453</v>
      </c>
      <c r="G2" s="38">
        <f>VLOOKUP(C2,'[1]Online Revenue_OCT2021'!$B$2:$O$51,14,0)</f>
        <v>96.771567992255243</v>
      </c>
      <c r="H2" s="38">
        <f>VLOOKUP('[1]Final Ranking Nov-21'!C3,'[1]challan pendency'!$B$3:$L$53,11,0)</f>
        <v>2.8866856942566721</v>
      </c>
      <c r="I2" s="38">
        <f>VLOOKUP(C2,'[1]challan online'!$G$3:$Q$51,11,0)</f>
        <v>100</v>
      </c>
      <c r="J2" s="38">
        <f t="shared" ref="J2:J31" si="0">AVERAGE(E2:I2)</f>
        <v>61.33712498811294</v>
      </c>
      <c r="K2" s="36">
        <v>1</v>
      </c>
      <c r="L2" s="36">
        <v>1</v>
      </c>
    </row>
    <row r="3" spans="1:12" x14ac:dyDescent="0.2">
      <c r="A3" s="71">
        <v>4</v>
      </c>
      <c r="B3" s="71" t="s">
        <v>121</v>
      </c>
      <c r="C3" s="71" t="s">
        <v>24</v>
      </c>
      <c r="D3" s="72" t="s">
        <v>137</v>
      </c>
      <c r="E3" s="38">
        <f>VLOOKUP(C3,'[1]sarathi pendency OCT 2021'!$B$2:$G$51,6,0)</f>
        <v>41.551296827374323</v>
      </c>
      <c r="F3" s="38">
        <f>VLOOKUP(C3,'[1]vahan pendency_oct2021'!$C$2:$H$51,6,0)</f>
        <v>50.773524150268344</v>
      </c>
      <c r="G3" s="38">
        <f>VLOOKUP(C3,'[1]Online Revenue_OCT2021'!$B$2:$O$51,14,0)</f>
        <v>98.495055913949344</v>
      </c>
      <c r="H3" s="38">
        <f>VLOOKUP('[1]Final Ranking Nov-21'!C4,'[1]challan pendency'!$B$3:$L$53,11,0)</f>
        <v>2.4438135852983649</v>
      </c>
      <c r="I3" s="38">
        <f>VLOOKUP(C3,'[1]challan online'!$G$3:$Q$51,11,0)</f>
        <v>98.438855160450998</v>
      </c>
      <c r="J3" s="38">
        <f t="shared" si="0"/>
        <v>58.340509127468273</v>
      </c>
      <c r="K3" s="36">
        <v>2</v>
      </c>
      <c r="L3" s="36">
        <v>2</v>
      </c>
    </row>
    <row r="4" spans="1:12" ht="30" x14ac:dyDescent="0.2">
      <c r="A4" s="71">
        <v>3</v>
      </c>
      <c r="B4" s="71" t="s">
        <v>121</v>
      </c>
      <c r="C4" s="71" t="s">
        <v>28</v>
      </c>
      <c r="D4" s="72" t="s">
        <v>125</v>
      </c>
      <c r="E4" s="38">
        <f>VLOOKUP(C4,'[1]sarathi pendency OCT 2021'!$B$2:$G$51,6,0)</f>
        <v>17.040143554185818</v>
      </c>
      <c r="F4" s="38">
        <f>VLOOKUP(C4,'[1]vahan pendency_oct2021'!$C$2:$H$51,6,0)</f>
        <v>71.591808399861165</v>
      </c>
      <c r="G4" s="38">
        <f>VLOOKUP(C4,'[1]Online Revenue_OCT2021'!$B$2:$O$51,14,0)</f>
        <v>99.184778506137548</v>
      </c>
      <c r="H4" s="38">
        <f>VLOOKUP('[1]Final Ranking Nov-21'!C6,'[1]challan pendency'!$B$3:$L$53,11,0)</f>
        <v>7.3713390563858576</v>
      </c>
      <c r="I4" s="38">
        <f>VLOOKUP(C4,'[1]challan online'!$G$3:$Q$51,11,0)</f>
        <v>86.038961038961034</v>
      </c>
      <c r="J4" s="38">
        <f t="shared" si="0"/>
        <v>56.245406111106284</v>
      </c>
      <c r="K4" s="36">
        <v>3</v>
      </c>
      <c r="L4" s="36">
        <v>3</v>
      </c>
    </row>
    <row r="5" spans="1:12" x14ac:dyDescent="0.2">
      <c r="A5" s="71">
        <v>9</v>
      </c>
      <c r="B5" s="71" t="s">
        <v>121</v>
      </c>
      <c r="C5" s="71" t="s">
        <v>66</v>
      </c>
      <c r="D5" s="72" t="s">
        <v>138</v>
      </c>
      <c r="E5" s="38">
        <f>VLOOKUP(C5,'[1]sarathi pendency OCT 2021'!$B$2:$G$51,6,0)</f>
        <v>18.737155435959831</v>
      </c>
      <c r="F5" s="38">
        <f>VLOOKUP(C5,'[1]vahan pendency_oct2021'!$C$2:$H$51,6,0)</f>
        <v>68.694995738463419</v>
      </c>
      <c r="G5" s="38">
        <f>VLOOKUP(C5,'[1]Online Revenue_OCT2021'!$B$2:$O$51,14,0)</f>
        <v>89.550657837018576</v>
      </c>
      <c r="H5" s="38">
        <f>VLOOKUP('[1]Final Ranking Nov-21'!C5,'[1]challan pendency'!$B$3:$L$53,11,0)</f>
        <v>14.576493057790941</v>
      </c>
      <c r="I5" s="38">
        <f>VLOOKUP(C5,'[1]challan online'!$G$3:$Q$51,11,0)</f>
        <v>98.88111888111888</v>
      </c>
      <c r="J5" s="38">
        <f t="shared" si="0"/>
        <v>58.088084190070319</v>
      </c>
      <c r="K5" s="36">
        <v>4</v>
      </c>
      <c r="L5" s="36">
        <v>4</v>
      </c>
    </row>
    <row r="6" spans="1:12" x14ac:dyDescent="0.2">
      <c r="A6" s="71">
        <v>14</v>
      </c>
      <c r="B6" s="71" t="s">
        <v>121</v>
      </c>
      <c r="C6" s="71" t="s">
        <v>18</v>
      </c>
      <c r="D6" s="72" t="s">
        <v>136</v>
      </c>
      <c r="E6" s="38">
        <f>VLOOKUP(C6,'[1]sarathi pendency OCT 2021'!$B$2:$G$51,6,0)</f>
        <v>41.642340209553488</v>
      </c>
      <c r="F6" s="38">
        <f>VLOOKUP(C6,'[1]vahan pendency_oct2021'!$C$2:$H$51,6,0)</f>
        <v>27.521558768070399</v>
      </c>
      <c r="G6" s="38">
        <f>VLOOKUP(C6,'[1]Online Revenue_OCT2021'!$B$2:$O$51,14,0)</f>
        <v>97.911116867304145</v>
      </c>
      <c r="H6" s="38">
        <f>VLOOKUP('[1]Final Ranking Nov-21'!C7,'[1]challan pendency'!$B$3:$L$53,11,0)</f>
        <v>3.1458514389243399</v>
      </c>
      <c r="I6" s="38">
        <f>VLOOKUP(C6,'[1]challan online'!$G$3:$Q$51,11,0)</f>
        <v>99.083587892252154</v>
      </c>
      <c r="J6" s="38">
        <f t="shared" si="0"/>
        <v>53.860891035220902</v>
      </c>
      <c r="K6" s="36">
        <v>5</v>
      </c>
      <c r="L6" s="36">
        <v>5</v>
      </c>
    </row>
    <row r="7" spans="1:12" x14ac:dyDescent="0.2">
      <c r="A7" s="71">
        <v>1</v>
      </c>
      <c r="B7" s="71" t="s">
        <v>121</v>
      </c>
      <c r="C7" s="71" t="s">
        <v>9</v>
      </c>
      <c r="D7" s="72" t="s">
        <v>129</v>
      </c>
      <c r="E7" s="38">
        <f>VLOOKUP(C7,'[1]sarathi pendency OCT 2021'!$B$2:$G$51,6,0)</f>
        <v>26.814146657787791</v>
      </c>
      <c r="F7" s="38">
        <f>VLOOKUP(C7,'[1]vahan pendency_oct2021'!$C$2:$H$51,6,0)</f>
        <v>43.945060090525992</v>
      </c>
      <c r="G7" s="38">
        <f>VLOOKUP(C7,'[1]Online Revenue_OCT2021'!$B$2:$O$51,14,0)</f>
        <v>94.681840017085946</v>
      </c>
      <c r="H7" s="38">
        <f>VLOOKUP('[1]Final Ranking Nov-21'!C8,'[1]challan pendency'!$B$3:$L$53,11,0)</f>
        <v>2.481093297116153</v>
      </c>
      <c r="I7" s="38">
        <f>VLOOKUP(C7,'[1]challan online'!$G$3:$Q$51,11,0)</f>
        <v>99.323344610923144</v>
      </c>
      <c r="J7" s="38">
        <f t="shared" si="0"/>
        <v>53.449096934687802</v>
      </c>
      <c r="K7" s="36">
        <v>6</v>
      </c>
      <c r="L7" s="36">
        <v>6</v>
      </c>
    </row>
    <row r="8" spans="1:12" x14ac:dyDescent="0.2">
      <c r="A8" s="71">
        <v>6</v>
      </c>
      <c r="B8" s="71" t="s">
        <v>121</v>
      </c>
      <c r="C8" s="71" t="s">
        <v>87</v>
      </c>
      <c r="D8" s="72" t="s">
        <v>128</v>
      </c>
      <c r="E8" s="38">
        <f>VLOOKUP(C8,'[1]sarathi pendency OCT 2021'!$B$2:$G$51,6,0)</f>
        <v>15.104615199755736</v>
      </c>
      <c r="F8" s="38">
        <f>VLOOKUP(C8,'[1]vahan pendency_oct2021'!$C$2:$H$51,6,0)</f>
        <v>52.962820322915128</v>
      </c>
      <c r="G8" s="38">
        <f>VLOOKUP(C8,'[1]Online Revenue_OCT2021'!$B$2:$O$51,14,0)</f>
        <v>95.660537492116376</v>
      </c>
      <c r="H8" s="38">
        <f>VLOOKUP('[1]Final Ranking Nov-21'!C10,'[1]challan pendency'!$B$3:$L$53,11,0)</f>
        <v>3.5746685635347726</v>
      </c>
      <c r="I8" s="38">
        <f>VLOOKUP(C8,'[1]challan online'!$G$3:$Q$51,11,0)</f>
        <v>97.651933701657455</v>
      </c>
      <c r="J8" s="38">
        <f t="shared" si="0"/>
        <v>52.990915055995892</v>
      </c>
      <c r="K8" s="36">
        <v>7</v>
      </c>
      <c r="L8" s="36">
        <v>7</v>
      </c>
    </row>
    <row r="9" spans="1:12" x14ac:dyDescent="0.2">
      <c r="A9" s="71">
        <v>5</v>
      </c>
      <c r="B9" s="71" t="s">
        <v>121</v>
      </c>
      <c r="C9" s="71" t="s">
        <v>89</v>
      </c>
      <c r="D9" s="72" t="s">
        <v>132</v>
      </c>
      <c r="E9" s="38">
        <f>VLOOKUP(C9,'[1]sarathi pendency OCT 2021'!$B$2:$G$51,6,0)</f>
        <v>16.792848872216595</v>
      </c>
      <c r="F9" s="38">
        <f>VLOOKUP(C9,'[1]vahan pendency_oct2021'!$C$2:$H$51,6,0)</f>
        <v>47.843839683325093</v>
      </c>
      <c r="G9" s="38">
        <f>VLOOKUP(C9,'[1]Online Revenue_OCT2021'!$B$2:$O$51,14,0)</f>
        <v>98.632447721590879</v>
      </c>
      <c r="H9" s="38">
        <f>VLOOKUP('[1]Final Ranking Nov-21'!C9,'[1]challan pendency'!$B$3:$L$53,11,0)</f>
        <v>3.1330656724978492</v>
      </c>
      <c r="I9" s="38">
        <f>VLOOKUP(C9,'[1]challan online'!$G$3:$Q$51,11,0)</f>
        <v>98.550724637681171</v>
      </c>
      <c r="J9" s="38">
        <f t="shared" si="0"/>
        <v>52.990585317462319</v>
      </c>
      <c r="K9" s="36">
        <v>8</v>
      </c>
      <c r="L9" s="36">
        <v>8</v>
      </c>
    </row>
    <row r="10" spans="1:12" x14ac:dyDescent="0.2">
      <c r="A10" s="71">
        <v>8</v>
      </c>
      <c r="B10" s="71" t="s">
        <v>121</v>
      </c>
      <c r="C10" s="71" t="s">
        <v>40</v>
      </c>
      <c r="D10" s="72" t="s">
        <v>124</v>
      </c>
      <c r="E10" s="38">
        <f>VLOOKUP(C10,'[1]sarathi pendency OCT 2021'!$B$2:$G$51,6,0)</f>
        <v>16.667125299120087</v>
      </c>
      <c r="F10" s="38">
        <f>VLOOKUP(C10,'[1]vahan pendency_oct2021'!$C$2:$H$51,6,0)</f>
        <v>44.987938510051237</v>
      </c>
      <c r="G10" s="38">
        <f>VLOOKUP(C10,'[1]Online Revenue_OCT2021'!$B$2:$O$51,14,0)</f>
        <v>96.364515105182861</v>
      </c>
      <c r="H10" s="38">
        <f>VLOOKUP('[1]Final Ranking Nov-21'!C11,'[1]challan pendency'!$B$3:$L$53,11,0)</f>
        <v>3.1212125051203765</v>
      </c>
      <c r="I10" s="38">
        <f>VLOOKUP(C10,'[1]challan online'!$G$3:$Q$51,11,0)</f>
        <v>100</v>
      </c>
      <c r="J10" s="38">
        <f t="shared" si="0"/>
        <v>52.228158283894913</v>
      </c>
      <c r="K10" s="36">
        <v>9</v>
      </c>
      <c r="L10" s="36">
        <v>9</v>
      </c>
    </row>
    <row r="11" spans="1:12" x14ac:dyDescent="0.2">
      <c r="A11" s="71">
        <v>11</v>
      </c>
      <c r="B11" s="71" t="s">
        <v>121</v>
      </c>
      <c r="C11" s="71" t="s">
        <v>11</v>
      </c>
      <c r="D11" s="72" t="s">
        <v>126</v>
      </c>
      <c r="E11" s="38">
        <f>VLOOKUP(C11,'[1]sarathi pendency OCT 2021'!$B$2:$G$51,6,0)</f>
        <v>18.300135894287266</v>
      </c>
      <c r="F11" s="38">
        <f>VLOOKUP(C11,'[1]vahan pendency_oct2021'!$C$2:$H$51,6,0)</f>
        <v>40.428131129167838</v>
      </c>
      <c r="G11" s="38">
        <f>VLOOKUP(C11,'[1]Online Revenue_OCT2021'!$B$2:$O$51,14,0)</f>
        <v>96.845471254714951</v>
      </c>
      <c r="H11" s="38">
        <f>VLOOKUP('[1]Final Ranking Nov-21'!C12,'[1]challan pendency'!$B$3:$L$53,11,0)</f>
        <v>2.5471970854088797</v>
      </c>
      <c r="I11" s="38">
        <f>VLOOKUP(C11,'[1]challan online'!$G$3:$Q$51,11,0)</f>
        <v>100</v>
      </c>
      <c r="J11" s="38">
        <f t="shared" si="0"/>
        <v>51.624187072715792</v>
      </c>
      <c r="K11" s="36">
        <v>10</v>
      </c>
      <c r="L11" s="36">
        <v>10</v>
      </c>
    </row>
    <row r="12" spans="1:12" ht="30" x14ac:dyDescent="0.2">
      <c r="A12" s="71">
        <v>10</v>
      </c>
      <c r="B12" s="71" t="s">
        <v>121</v>
      </c>
      <c r="C12" s="71" t="s">
        <v>7</v>
      </c>
      <c r="D12" s="72" t="s">
        <v>131</v>
      </c>
      <c r="E12" s="38">
        <f>VLOOKUP(C12,'[1]sarathi pendency OCT 2021'!$B$2:$G$51,6,0)</f>
        <v>16.952421131499076</v>
      </c>
      <c r="F12" s="38">
        <f>VLOOKUP(C12,'[1]vahan pendency_oct2021'!$C$2:$H$51,6,0)</f>
        <v>36.543434062108346</v>
      </c>
      <c r="G12" s="38">
        <f>VLOOKUP(C12,'[1]Online Revenue_OCT2021'!$B$2:$O$51,14,0)</f>
        <v>99.031986621324847</v>
      </c>
      <c r="H12" s="38">
        <f>VLOOKUP('[1]Final Ranking Nov-21'!C13,'[1]challan pendency'!$B$3:$L$53,11,0)</f>
        <v>3.6747033198137302</v>
      </c>
      <c r="I12" s="38">
        <f>VLOOKUP(C12,'[1]challan online'!$G$3:$Q$51,11,0)</f>
        <v>98.473282442748086</v>
      </c>
      <c r="J12" s="38">
        <f t="shared" si="0"/>
        <v>50.935165515498817</v>
      </c>
      <c r="K12" s="36">
        <v>11</v>
      </c>
      <c r="L12" s="36">
        <v>11</v>
      </c>
    </row>
    <row r="13" spans="1:12" ht="30" x14ac:dyDescent="0.2">
      <c r="A13" s="71">
        <v>12</v>
      </c>
      <c r="B13" s="71" t="s">
        <v>121</v>
      </c>
      <c r="C13" s="71" t="s">
        <v>5</v>
      </c>
      <c r="D13" s="72" t="s">
        <v>135</v>
      </c>
      <c r="E13" s="38">
        <f>VLOOKUP(C13,'[1]sarathi pendency OCT 2021'!$B$2:$G$51,6,0)</f>
        <v>15.925482343400022</v>
      </c>
      <c r="F13" s="38">
        <f>VLOOKUP(C13,'[1]vahan pendency_oct2021'!$C$2:$H$51,6,0)</f>
        <v>36.304802750767188</v>
      </c>
      <c r="G13" s="38">
        <f>VLOOKUP(C13,'[1]Online Revenue_OCT2021'!$B$2:$O$51,14,0)</f>
        <v>98.254211142578995</v>
      </c>
      <c r="H13" s="38">
        <f>VLOOKUP('[1]Final Ranking Nov-21'!C14,'[1]challan pendency'!$B$3:$L$53,11,0)</f>
        <v>2.9537253477974721</v>
      </c>
      <c r="I13" s="38">
        <f>VLOOKUP(C13,'[1]challan online'!$G$3:$Q$51,11,0)</f>
        <v>99.029126213592235</v>
      </c>
      <c r="J13" s="38">
        <f t="shared" si="0"/>
        <v>50.493469559627179</v>
      </c>
      <c r="K13" s="36">
        <v>12</v>
      </c>
      <c r="L13" s="36">
        <v>12</v>
      </c>
    </row>
    <row r="14" spans="1:12" x14ac:dyDescent="0.2">
      <c r="A14" s="71">
        <v>7</v>
      </c>
      <c r="B14" s="71" t="s">
        <v>121</v>
      </c>
      <c r="C14" s="71" t="s">
        <v>81</v>
      </c>
      <c r="D14" s="72" t="s">
        <v>127</v>
      </c>
      <c r="E14" s="38">
        <f>VLOOKUP(C14,'[1]sarathi pendency OCT 2021'!$B$2:$G$51,6,0)</f>
        <v>14.898480708161102</v>
      </c>
      <c r="F14" s="38">
        <f>VLOOKUP(C14,'[1]vahan pendency_oct2021'!$C$2:$H$51,6,0)</f>
        <v>36.255032245456327</v>
      </c>
      <c r="G14" s="38">
        <f>VLOOKUP(C14,'[1]Online Revenue_OCT2021'!$B$2:$O$51,14,0)</f>
        <v>95.717857449020428</v>
      </c>
      <c r="H14" s="38">
        <f>VLOOKUP('[1]Final Ranking Nov-21'!C15,'[1]challan pendency'!$B$3:$L$53,11,0)</f>
        <v>3.1710806250458514</v>
      </c>
      <c r="I14" s="38">
        <f>VLOOKUP(C14,'[1]challan online'!$G$3:$Q$51,11,0)</f>
        <v>100</v>
      </c>
      <c r="J14" s="38">
        <f t="shared" si="0"/>
        <v>50.008490205536745</v>
      </c>
      <c r="K14" s="36">
        <v>13</v>
      </c>
      <c r="L14" s="36">
        <v>13</v>
      </c>
    </row>
    <row r="15" spans="1:12" x14ac:dyDescent="0.2">
      <c r="A15" s="71">
        <v>13</v>
      </c>
      <c r="B15" s="71" t="s">
        <v>121</v>
      </c>
      <c r="C15" s="71" t="s">
        <v>91</v>
      </c>
      <c r="D15" s="72" t="s">
        <v>130</v>
      </c>
      <c r="E15" s="38">
        <f>VLOOKUP(C15,'[1]sarathi pendency OCT 2021'!$B$2:$G$51,6,0)</f>
        <v>12.221677217341522</v>
      </c>
      <c r="F15" s="38">
        <f>VLOOKUP(C15,'[1]vahan pendency_oct2021'!$C$2:$H$51,6,0)</f>
        <v>37.103967168262656</v>
      </c>
      <c r="G15" s="38">
        <f>VLOOKUP(C15,'[1]Online Revenue_OCT2021'!$B$2:$O$51,14,0)</f>
        <v>97.047367743180217</v>
      </c>
      <c r="H15" s="38">
        <f>VLOOKUP('[1]Final Ranking Nov-21'!C16,'[1]challan pendency'!$B$3:$L$53,11,0)</f>
        <v>2.6543488057683642</v>
      </c>
      <c r="I15" s="38">
        <f>VLOOKUP(C15,'[1]challan online'!$G$3:$Q$51,11,0)</f>
        <v>100</v>
      </c>
      <c r="J15" s="38">
        <f t="shared" si="0"/>
        <v>49.805472186910556</v>
      </c>
      <c r="K15" s="36">
        <v>14</v>
      </c>
      <c r="L15" s="36">
        <v>14</v>
      </c>
    </row>
    <row r="16" spans="1:12" ht="30" x14ac:dyDescent="0.2">
      <c r="A16" s="71">
        <v>15</v>
      </c>
      <c r="B16" s="71" t="s">
        <v>121</v>
      </c>
      <c r="C16" s="71" t="s">
        <v>6</v>
      </c>
      <c r="D16" s="72" t="s">
        <v>134</v>
      </c>
      <c r="E16" s="38">
        <f>VLOOKUP(C16,'[1]sarathi pendency OCT 2021'!$B$2:$G$51,6,0)</f>
        <v>17.377042584281902</v>
      </c>
      <c r="F16" s="38">
        <f>VLOOKUP(C16,'[1]vahan pendency_oct2021'!$C$2:$H$51,6,0)</f>
        <v>26.71360214154258</v>
      </c>
      <c r="G16" s="38">
        <f>VLOOKUP(C16,'[1]Online Revenue_OCT2021'!$B$2:$O$51,14,0)</f>
        <v>99.214762548259856</v>
      </c>
      <c r="H16" s="38">
        <f>VLOOKUP('[1]Final Ranking Nov-21'!C17,'[1]challan pendency'!$B$3:$L$53,11,0)</f>
        <v>2.7980622280139955</v>
      </c>
      <c r="I16" s="38">
        <f>VLOOKUP(C16,'[1]challan online'!$G$3:$Q$51,11,0)</f>
        <v>88.172043010752688</v>
      </c>
      <c r="J16" s="38">
        <f t="shared" si="0"/>
        <v>46.855102502570205</v>
      </c>
      <c r="K16" s="36">
        <v>15</v>
      </c>
      <c r="L16" s="36">
        <v>15</v>
      </c>
    </row>
    <row r="17" spans="1:12" x14ac:dyDescent="0.2">
      <c r="A17" s="73">
        <v>18</v>
      </c>
      <c r="B17" s="73" t="s">
        <v>122</v>
      </c>
      <c r="C17" s="73" t="s">
        <v>22</v>
      </c>
      <c r="D17" s="74" t="s">
        <v>148</v>
      </c>
      <c r="E17" s="39">
        <f>VLOOKUP(C17,'[1]sarathi pendency OCT 2021'!$B$2:$G$51,6,0)</f>
        <v>100</v>
      </c>
      <c r="F17" s="39">
        <f>VLOOKUP(C17,'[1]vahan pendency_oct2021'!$C$2:$H$51,6,0)</f>
        <v>61.563424947145876</v>
      </c>
      <c r="G17" s="39">
        <f>VLOOKUP(C17,'[1]Online Revenue_OCT2021'!$B$2:$O$51,14,0)</f>
        <v>96.700917360068345</v>
      </c>
      <c r="H17" s="39">
        <f>VLOOKUP('[1]Final Ranking Nov-21'!C19,'[1]challan pendency'!$B$3:$L$49,11,0)</f>
        <v>15.277252015422363</v>
      </c>
      <c r="I17" s="39">
        <f>VLOOKUP(C17,'[1]challan online'!$G$3:$Q$51,11,0)</f>
        <v>100</v>
      </c>
      <c r="J17" s="39">
        <f t="shared" si="0"/>
        <v>74.708318864527314</v>
      </c>
      <c r="K17" s="37">
        <v>1</v>
      </c>
      <c r="L17" s="37">
        <v>1</v>
      </c>
    </row>
    <row r="18" spans="1:12" x14ac:dyDescent="0.2">
      <c r="A18" s="73">
        <v>22</v>
      </c>
      <c r="B18" s="73" t="s">
        <v>122</v>
      </c>
      <c r="C18" s="73" t="s">
        <v>34</v>
      </c>
      <c r="D18" s="74" t="s">
        <v>144</v>
      </c>
      <c r="E18" s="39">
        <f>VLOOKUP(C18,'[1]sarathi pendency OCT 2021'!$B$2:$G$51,6,0)</f>
        <v>31.295419189226898</v>
      </c>
      <c r="F18" s="39">
        <f>VLOOKUP(C18,'[1]vahan pendency_oct2021'!$C$2:$H$51,6,0)</f>
        <v>37.158225139106868</v>
      </c>
      <c r="G18" s="39">
        <f>VLOOKUP(C18,'[1]Online Revenue_OCT2021'!$B$2:$O$51,14,0)</f>
        <v>98.167613773120337</v>
      </c>
      <c r="H18" s="39">
        <f>VLOOKUP('[1]Final Ranking Nov-21'!C23,'[1]challan pendency'!$B$3:$L$49,11,0)</f>
        <v>3.2401790288225625</v>
      </c>
      <c r="I18" s="39">
        <f>VLOOKUP(C18,'[1]challan online'!$G$3:$Q$51,11,0)</f>
        <v>100</v>
      </c>
      <c r="J18" s="39">
        <f t="shared" si="0"/>
        <v>53.972287426055324</v>
      </c>
      <c r="K18" s="37">
        <v>2</v>
      </c>
      <c r="L18" s="37">
        <v>2</v>
      </c>
    </row>
    <row r="19" spans="1:12" x14ac:dyDescent="0.2">
      <c r="A19" s="73">
        <v>20</v>
      </c>
      <c r="B19" s="73" t="s">
        <v>122</v>
      </c>
      <c r="C19" s="73" t="s">
        <v>26</v>
      </c>
      <c r="D19" s="74" t="s">
        <v>139</v>
      </c>
      <c r="E19" s="39">
        <f>VLOOKUP(C19,'[1]sarathi pendency OCT 2021'!$B$2:$G$51,6,0)</f>
        <v>58.276615519558881</v>
      </c>
      <c r="F19" s="39">
        <f>VLOOKUP(C19,'[1]vahan pendency_oct2021'!$C$2:$H$51,6,0)</f>
        <v>73.522198731501049</v>
      </c>
      <c r="G19" s="39">
        <f>VLOOKUP(C19,'[1]Online Revenue_OCT2021'!$B$2:$O$51,14,0)</f>
        <v>98.670716048499031</v>
      </c>
      <c r="H19" s="39">
        <f>VLOOKUP('[1]Final Ranking Nov-21'!C21,'[1]challan pendency'!$B$3:$L$49,11,0)</f>
        <v>13.750231953980329</v>
      </c>
      <c r="I19" s="39">
        <f>VLOOKUP(C19,'[1]challan online'!$G$3:$Q$51,11,0)</f>
        <v>98.692240627724502</v>
      </c>
      <c r="J19" s="39">
        <f t="shared" si="0"/>
        <v>68.582400576252752</v>
      </c>
      <c r="K19" s="37">
        <v>3</v>
      </c>
      <c r="L19" s="37">
        <v>3</v>
      </c>
    </row>
    <row r="20" spans="1:12" x14ac:dyDescent="0.2">
      <c r="A20" s="73">
        <v>19</v>
      </c>
      <c r="B20" s="73" t="s">
        <v>122</v>
      </c>
      <c r="C20" s="73" t="s">
        <v>53</v>
      </c>
      <c r="D20" s="74" t="s">
        <v>149</v>
      </c>
      <c r="E20" s="39">
        <f>VLOOKUP(C20,'[1]sarathi pendency OCT 2021'!$B$2:$G$51,6,0)</f>
        <v>47.238692598967205</v>
      </c>
      <c r="F20" s="39">
        <f>VLOOKUP(C20,'[1]vahan pendency_oct2021'!$C$2:$H$51,6,0)</f>
        <v>82.276979357198854</v>
      </c>
      <c r="G20" s="39">
        <f>VLOOKUP(C20,'[1]Online Revenue_OCT2021'!$B$2:$O$51,14,0)</f>
        <v>97.639951680097141</v>
      </c>
      <c r="H20" s="39">
        <f>VLOOKUP('[1]Final Ranking Nov-21'!C20,'[1]challan pendency'!$B$3:$L$49,11,0)</f>
        <v>3.7037935776106123</v>
      </c>
      <c r="I20" s="39">
        <f>VLOOKUP(C20,'[1]challan online'!$G$3:$Q$51,11,0)</f>
        <v>100</v>
      </c>
      <c r="J20" s="39">
        <f t="shared" si="0"/>
        <v>66.171883442774771</v>
      </c>
      <c r="K20" s="37">
        <v>4</v>
      </c>
      <c r="L20" s="37">
        <v>4</v>
      </c>
    </row>
    <row r="21" spans="1:12" x14ac:dyDescent="0.2">
      <c r="A21" s="73">
        <v>23</v>
      </c>
      <c r="B21" s="73" t="s">
        <v>122</v>
      </c>
      <c r="C21" s="73" t="s">
        <v>36</v>
      </c>
      <c r="D21" s="74" t="s">
        <v>143</v>
      </c>
      <c r="E21" s="39">
        <f>VLOOKUP(C21,'[1]sarathi pendency OCT 2021'!$B$2:$G$51,6,0)</f>
        <v>37.277093803553242</v>
      </c>
      <c r="F21" s="39">
        <f>VLOOKUP(C21,'[1]vahan pendency_oct2021'!$C$2:$H$51,6,0)</f>
        <v>80.83029541169077</v>
      </c>
      <c r="G21" s="39">
        <f>VLOOKUP(C21,'[1]Online Revenue_OCT2021'!$B$2:$O$51,14,0)</f>
        <v>99.450221353969269</v>
      </c>
      <c r="H21" s="39">
        <f>VLOOKUP('[1]Final Ranking Nov-21'!C24,'[1]challan pendency'!$B$3:$L$49,11,0)</f>
        <v>23.021410090274053</v>
      </c>
      <c r="I21" s="39">
        <f>VLOOKUP(C21,'[1]challan online'!$G$3:$Q$51,11,0)</f>
        <v>94.301994301994313</v>
      </c>
      <c r="J21" s="39">
        <f t="shared" si="0"/>
        <v>66.976202992296336</v>
      </c>
      <c r="K21" s="37">
        <v>5</v>
      </c>
      <c r="L21" s="37">
        <v>5</v>
      </c>
    </row>
    <row r="22" spans="1:12" ht="30" x14ac:dyDescent="0.2">
      <c r="A22" s="73">
        <v>16</v>
      </c>
      <c r="B22" s="73" t="s">
        <v>122</v>
      </c>
      <c r="C22" s="73" t="s">
        <v>76</v>
      </c>
      <c r="D22" s="74" t="s">
        <v>153</v>
      </c>
      <c r="E22" s="39">
        <f>VLOOKUP(C22,'[1]sarathi pendency OCT 2021'!$B$2:$G$51,6,0)</f>
        <v>30.943917348085257</v>
      </c>
      <c r="F22" s="39">
        <f>VLOOKUP(C22,'[1]vahan pendency_oct2021'!$C$2:$H$51,6,0)</f>
        <v>71.602560752547689</v>
      </c>
      <c r="G22" s="39">
        <f>VLOOKUP(C22,'[1]Online Revenue_OCT2021'!$B$2:$O$51,14,0)</f>
        <v>93.385398971747563</v>
      </c>
      <c r="H22" s="39">
        <f>VLOOKUP('[1]Final Ranking Nov-21'!C17,'[1]challan pendency'!$B$3:$L$49,11,0)</f>
        <v>2.7980622280139955</v>
      </c>
      <c r="I22" s="39">
        <f>VLOOKUP(C22,'[1]challan online'!$G$3:$Q$51,11,0)</f>
        <v>100</v>
      </c>
      <c r="J22" s="39">
        <f t="shared" si="0"/>
        <v>59.745987860078912</v>
      </c>
      <c r="K22" s="37">
        <v>6</v>
      </c>
      <c r="L22" s="37">
        <v>6</v>
      </c>
    </row>
    <row r="23" spans="1:12" x14ac:dyDescent="0.2">
      <c r="A23" s="73">
        <v>25</v>
      </c>
      <c r="B23" s="73" t="s">
        <v>122</v>
      </c>
      <c r="C23" s="73" t="s">
        <v>32</v>
      </c>
      <c r="D23" s="74" t="s">
        <v>145</v>
      </c>
      <c r="E23" s="39">
        <f>VLOOKUP(C23,'[1]sarathi pendency OCT 2021'!$B$2:$G$51,6,0)</f>
        <v>32.342161886895099</v>
      </c>
      <c r="F23" s="39">
        <f>VLOOKUP(C23,'[1]vahan pendency_oct2021'!$C$2:$H$51,6,0)</f>
        <v>63.572827417380665</v>
      </c>
      <c r="G23" s="39">
        <f>VLOOKUP(C23,'[1]Online Revenue_OCT2021'!$B$2:$O$51,14,0)</f>
        <v>98.047606276114522</v>
      </c>
      <c r="H23" s="39">
        <f>VLOOKUP('[1]Final Ranking Nov-21'!C26,'[1]challan pendency'!$B$3:$L$49,11,0)</f>
        <v>14.624605678233438</v>
      </c>
      <c r="I23" s="39">
        <f>VLOOKUP(C23,'[1]challan online'!$G$3:$Q$51,11,0)</f>
        <v>99.209486166007906</v>
      </c>
      <c r="J23" s="39">
        <f t="shared" si="0"/>
        <v>61.559337484926324</v>
      </c>
      <c r="K23" s="37">
        <v>7</v>
      </c>
      <c r="L23" s="37">
        <v>7</v>
      </c>
    </row>
    <row r="24" spans="1:12" x14ac:dyDescent="0.2">
      <c r="A24" s="73">
        <v>17</v>
      </c>
      <c r="B24" s="73" t="s">
        <v>122</v>
      </c>
      <c r="C24" s="73" t="s">
        <v>47</v>
      </c>
      <c r="D24" s="74" t="s">
        <v>141</v>
      </c>
      <c r="E24" s="39">
        <f>VLOOKUP(C24,'[1]sarathi pendency OCT 2021'!$B$2:$G$51,6,0)</f>
        <v>48.265105141732477</v>
      </c>
      <c r="F24" s="39">
        <f>VLOOKUP(C24,'[1]vahan pendency_oct2021'!$C$2:$H$51,6,0)</f>
        <v>56.188704318936878</v>
      </c>
      <c r="G24" s="39">
        <f>VLOOKUP(C24,'[1]Online Revenue_OCT2021'!$B$2:$O$51,14,0)</f>
        <v>96.524800182980258</v>
      </c>
      <c r="H24" s="39">
        <f>VLOOKUP('[1]Final Ranking Nov-21'!C18,'[1]challan pendency'!$B$3:$L$49,11,0)</f>
        <v>12.320364528566422</v>
      </c>
      <c r="I24" s="39">
        <f>VLOOKUP(C24,'[1]challan online'!$G$3:$Q$51,11,0)</f>
        <v>99.351818509182564</v>
      </c>
      <c r="J24" s="39">
        <f t="shared" si="0"/>
        <v>62.530158536279728</v>
      </c>
      <c r="K24" s="37">
        <v>8</v>
      </c>
      <c r="L24" s="37">
        <v>8</v>
      </c>
    </row>
    <row r="25" spans="1:12" x14ac:dyDescent="0.2">
      <c r="A25" s="73">
        <v>21</v>
      </c>
      <c r="B25" s="73" t="s">
        <v>122</v>
      </c>
      <c r="C25" s="73" t="s">
        <v>79</v>
      </c>
      <c r="D25" s="74" t="s">
        <v>146</v>
      </c>
      <c r="E25" s="39">
        <f>VLOOKUP(C25,'[1]sarathi pendency OCT 2021'!$B$2:$G$51,6,0)</f>
        <v>29.831522142035542</v>
      </c>
      <c r="F25" s="39">
        <f>VLOOKUP(C25,'[1]vahan pendency_oct2021'!$C$2:$H$51,6,0)</f>
        <v>55.723496391339211</v>
      </c>
      <c r="G25" s="39">
        <f>VLOOKUP(C25,'[1]Online Revenue_OCT2021'!$B$2:$O$51,14,0)</f>
        <v>99.904653409405284</v>
      </c>
      <c r="H25" s="39">
        <f>VLOOKUP('[1]Final Ranking Nov-21'!C22,'[1]challan pendency'!$B$3:$L$49,11,0)</f>
        <v>100</v>
      </c>
      <c r="I25" s="39">
        <f>VLOOKUP(C25,'[1]challan online'!$G$3:$Q$51,11,0)</f>
        <v>100</v>
      </c>
      <c r="J25" s="39">
        <f t="shared" si="0"/>
        <v>77.091934388555998</v>
      </c>
      <c r="K25" s="37">
        <v>9</v>
      </c>
      <c r="L25" s="37">
        <v>9</v>
      </c>
    </row>
    <row r="26" spans="1:12" x14ac:dyDescent="0.2">
      <c r="A26" s="73">
        <v>27</v>
      </c>
      <c r="B26" s="73" t="s">
        <v>122</v>
      </c>
      <c r="C26" s="73" t="s">
        <v>51</v>
      </c>
      <c r="D26" s="74" t="s">
        <v>147</v>
      </c>
      <c r="E26" s="39">
        <f>VLOOKUP(C26,'[1]sarathi pendency OCT 2021'!$B$2:$G$51,6,0)</f>
        <v>34.132996974710508</v>
      </c>
      <c r="F26" s="39">
        <f>VLOOKUP(C26,'[1]vahan pendency_oct2021'!$C$2:$H$51,6,0)</f>
        <v>65.280293757649943</v>
      </c>
      <c r="G26" s="39">
        <f>VLOOKUP(C26,'[1]Online Revenue_OCT2021'!$B$2:$O$51,14,0)</f>
        <v>89.0530755996718</v>
      </c>
      <c r="H26" s="39">
        <f>VLOOKUP('[1]Final Ranking Nov-21'!C28,'[1]challan pendency'!$B$3:$L$49,11,0)</f>
        <v>2.7318182793622183</v>
      </c>
      <c r="I26" s="39">
        <f>VLOOKUP(C26,'[1]challan online'!$G$3:$Q$51,11,0)</f>
        <v>99.234972677595621</v>
      </c>
      <c r="J26" s="39">
        <f t="shared" si="0"/>
        <v>58.086631457798013</v>
      </c>
      <c r="K26" s="37">
        <v>10</v>
      </c>
      <c r="L26" s="37">
        <v>10</v>
      </c>
    </row>
    <row r="27" spans="1:12" x14ac:dyDescent="0.2">
      <c r="A27" s="73">
        <v>30</v>
      </c>
      <c r="B27" s="73" t="s">
        <v>122</v>
      </c>
      <c r="C27" s="73" t="s">
        <v>93</v>
      </c>
      <c r="D27" s="74" t="s">
        <v>142</v>
      </c>
      <c r="E27" s="39">
        <f>VLOOKUP(C27,'[1]sarathi pendency OCT 2021'!$B$2:$G$51,6,0)</f>
        <v>35.044694310947897</v>
      </c>
      <c r="F27" s="39">
        <f>VLOOKUP(C27,'[1]vahan pendency_oct2021'!$C$2:$H$51,6,0)</f>
        <v>47.047385906627035</v>
      </c>
      <c r="G27" s="39">
        <f>VLOOKUP(C27,'[1]Online Revenue_OCT2021'!$B$2:$O$51,14,0)</f>
        <v>96.262945860592367</v>
      </c>
      <c r="H27" s="39">
        <f>VLOOKUP('[1]Final Ranking Nov-21'!C31,'[1]challan pendency'!$B$3:$L$49,11,0)</f>
        <v>4.1333736312863234</v>
      </c>
      <c r="I27" s="39">
        <f>VLOOKUP(C27,'[1]challan online'!$G$3:$Q$51,11,0)</f>
        <v>100</v>
      </c>
      <c r="J27" s="39">
        <f t="shared" si="0"/>
        <v>56.497679941890723</v>
      </c>
      <c r="K27" s="37">
        <v>11</v>
      </c>
      <c r="L27" s="37">
        <v>11</v>
      </c>
    </row>
    <row r="28" spans="1:12" x14ac:dyDescent="0.2">
      <c r="A28" s="73">
        <v>26</v>
      </c>
      <c r="B28" s="73" t="s">
        <v>122</v>
      </c>
      <c r="C28" s="73" t="s">
        <v>13</v>
      </c>
      <c r="D28" s="74" t="s">
        <v>150</v>
      </c>
      <c r="E28" s="39">
        <f>VLOOKUP(C28,'[1]sarathi pendency OCT 2021'!$B$2:$G$51,6,0)</f>
        <v>34.498069560967664</v>
      </c>
      <c r="F28" s="39">
        <f>VLOOKUP(C28,'[1]vahan pendency_oct2021'!$C$2:$H$51,6,0)</f>
        <v>33.646153846153851</v>
      </c>
      <c r="G28" s="39">
        <f>VLOOKUP(C28,'[1]Online Revenue_OCT2021'!$B$2:$O$51,14,0)</f>
        <v>94.258755779315976</v>
      </c>
      <c r="H28" s="39">
        <f>VLOOKUP('[1]Final Ranking Nov-21'!C27,'[1]challan pendency'!$B$3:$L$49,11,0)</f>
        <v>10.71599273492018</v>
      </c>
      <c r="I28" s="39">
        <f>VLOOKUP(C28,'[1]challan online'!$G$3:$Q$51,11,0)</f>
        <v>100</v>
      </c>
      <c r="J28" s="39">
        <f t="shared" si="0"/>
        <v>54.623794384271534</v>
      </c>
      <c r="K28" s="37">
        <v>12</v>
      </c>
      <c r="L28" s="37">
        <v>12</v>
      </c>
    </row>
    <row r="29" spans="1:12" x14ac:dyDescent="0.2">
      <c r="A29" s="73">
        <v>28</v>
      </c>
      <c r="B29" s="73" t="s">
        <v>122</v>
      </c>
      <c r="C29" s="73" t="s">
        <v>20</v>
      </c>
      <c r="D29" s="74" t="s">
        <v>152</v>
      </c>
      <c r="E29" s="39">
        <f>VLOOKUP(C29,'[1]sarathi pendency OCT 2021'!$B$2:$G$51,6,0)</f>
        <v>40.696859637849222</v>
      </c>
      <c r="F29" s="39">
        <f>VLOOKUP(C29,'[1]vahan pendency_oct2021'!$C$2:$H$51,6,0)</f>
        <v>22.777772123556055</v>
      </c>
      <c r="G29" s="39">
        <f>VLOOKUP(C29,'[1]Online Revenue_OCT2021'!$B$2:$O$51,14,0)</f>
        <v>97.248119686364873</v>
      </c>
      <c r="H29" s="39">
        <f>VLOOKUP('[1]Final Ranking Nov-21'!C29,'[1]challan pendency'!$B$3:$L$49,11,0)</f>
        <v>4.4397710012851972</v>
      </c>
      <c r="I29" s="39">
        <f>VLOOKUP(C29,'[1]challan online'!$G$3:$Q$51,11,0)</f>
        <v>100</v>
      </c>
      <c r="J29" s="39">
        <f t="shared" si="0"/>
        <v>53.032504489811075</v>
      </c>
      <c r="K29" s="37">
        <v>13</v>
      </c>
      <c r="L29" s="37">
        <v>13</v>
      </c>
    </row>
    <row r="30" spans="1:12" x14ac:dyDescent="0.2">
      <c r="A30" s="73">
        <v>24</v>
      </c>
      <c r="B30" s="73" t="s">
        <v>122</v>
      </c>
      <c r="C30" s="73" t="s">
        <v>61</v>
      </c>
      <c r="D30" s="74" t="s">
        <v>151</v>
      </c>
      <c r="E30" s="39">
        <f>VLOOKUP(C30,'[1]sarathi pendency OCT 2021'!$B$2:$G$51,6,0)</f>
        <v>20.223313422417135</v>
      </c>
      <c r="F30" s="39">
        <f>VLOOKUP(C30,'[1]vahan pendency_oct2021'!$C$2:$H$51,6,0)</f>
        <v>54.620689655172413</v>
      </c>
      <c r="G30" s="39">
        <f>VLOOKUP(C30,'[1]Online Revenue_OCT2021'!$B$2:$O$51,14,0)</f>
        <v>95.243694388849249</v>
      </c>
      <c r="H30" s="39">
        <f>VLOOKUP('[1]Final Ranking Nov-21'!C25,'[1]challan pendency'!$B$3:$L$49,11,0)</f>
        <v>3.5962145110410093</v>
      </c>
      <c r="I30" s="39">
        <f>VLOOKUP(C30,'[1]challan online'!$G$3:$Q$51,11,0)</f>
        <v>88.028169014084511</v>
      </c>
      <c r="J30" s="39">
        <f t="shared" si="0"/>
        <v>52.342416198312868</v>
      </c>
      <c r="K30" s="37">
        <v>14</v>
      </c>
      <c r="L30" s="37">
        <v>14</v>
      </c>
    </row>
    <row r="31" spans="1:12" x14ac:dyDescent="0.2">
      <c r="A31" s="73">
        <v>29</v>
      </c>
      <c r="B31" s="73" t="s">
        <v>122</v>
      </c>
      <c r="C31" s="73" t="s">
        <v>38</v>
      </c>
      <c r="D31" s="74" t="s">
        <v>140</v>
      </c>
      <c r="E31" s="39">
        <f>VLOOKUP(C31,'[1]sarathi pendency OCT 2021'!$B$2:$G$51,6,0)</f>
        <v>26.716106391705967</v>
      </c>
      <c r="F31" s="39">
        <f>VLOOKUP(C31,'[1]vahan pendency_oct2021'!$C$2:$H$51,6,0)</f>
        <v>34.175131520723738</v>
      </c>
      <c r="G31" s="39">
        <f>VLOOKUP(C31,'[1]Online Revenue_OCT2021'!$B$2:$O$51,14,0)</f>
        <v>96.797227817769198</v>
      </c>
      <c r="H31" s="39">
        <f>VLOOKUP('[1]Final Ranking Nov-21'!C30,'[1]challan pendency'!$B$3:$L$49,11,0)</f>
        <v>4.5031963013035563</v>
      </c>
      <c r="I31" s="39">
        <f>VLOOKUP(C31,'[1]challan online'!$G$3:$Q$51,11,0)</f>
        <v>98.480463096960918</v>
      </c>
      <c r="J31" s="39">
        <f t="shared" si="0"/>
        <v>52.134425025692678</v>
      </c>
      <c r="K31" s="37">
        <v>15</v>
      </c>
      <c r="L31" s="37">
        <v>15</v>
      </c>
    </row>
    <row r="32" spans="1:12" x14ac:dyDescent="0.2">
      <c r="A32" s="75">
        <v>32</v>
      </c>
      <c r="B32" s="75" t="s">
        <v>123</v>
      </c>
      <c r="C32" s="75" t="s">
        <v>62</v>
      </c>
      <c r="D32" s="75" t="s">
        <v>172</v>
      </c>
      <c r="E32" s="76">
        <v>63.657152166071285</v>
      </c>
      <c r="F32" s="76">
        <v>100</v>
      </c>
      <c r="G32" s="76">
        <v>90.95074578738901</v>
      </c>
      <c r="H32" s="76">
        <f>VLOOKUP(C32,'[1]challan pendency'!$B$3:$L$52,11,0)</f>
        <v>8.8906414300736074</v>
      </c>
      <c r="I32" s="76">
        <f>VLOOKUP(C32,'[1]challan online'!$G$3:$Q$52,11,0)</f>
        <v>100</v>
      </c>
      <c r="J32" s="76">
        <v>71.811579590692048</v>
      </c>
      <c r="K32" s="76">
        <v>1</v>
      </c>
      <c r="L32" s="76">
        <v>1</v>
      </c>
    </row>
    <row r="33" spans="1:12" x14ac:dyDescent="0.2">
      <c r="A33" s="75">
        <v>33</v>
      </c>
      <c r="B33" s="75" t="s">
        <v>123</v>
      </c>
      <c r="C33" s="75" t="s">
        <v>71</v>
      </c>
      <c r="D33" s="75" t="s">
        <v>161</v>
      </c>
      <c r="E33" s="76">
        <v>41.771093210084395</v>
      </c>
      <c r="F33" s="76">
        <v>96.093023255813961</v>
      </c>
      <c r="G33" s="76">
        <v>93.197956651805001</v>
      </c>
      <c r="H33" s="76">
        <f>VLOOKUP(C33,'[1]challan pendency'!$B$3:$L$52,11,0)</f>
        <v>5.114616193480547</v>
      </c>
      <c r="I33" s="76">
        <f>VLOOKUP(C33,'[1]challan online'!$G$3:$Q$52,11,0)</f>
        <v>100</v>
      </c>
      <c r="J33" s="76">
        <v>66.724414623540667</v>
      </c>
      <c r="K33" s="76">
        <v>2</v>
      </c>
      <c r="L33" s="76">
        <v>2</v>
      </c>
    </row>
    <row r="34" spans="1:12" x14ac:dyDescent="0.2">
      <c r="A34" s="75">
        <v>34</v>
      </c>
      <c r="B34" s="75" t="s">
        <v>123</v>
      </c>
      <c r="C34" s="75" t="s">
        <v>72</v>
      </c>
      <c r="D34" s="75" t="s">
        <v>171</v>
      </c>
      <c r="E34" s="76">
        <v>38.078864126092135</v>
      </c>
      <c r="F34" s="76">
        <v>94.656976744186053</v>
      </c>
      <c r="G34" s="76">
        <v>98.520950661507399</v>
      </c>
      <c r="H34" s="76">
        <f>VLOOKUP(C34,'[1]challan pendency'!$B$3:$L$52,11,0)</f>
        <v>3.3020796822058656</v>
      </c>
      <c r="I34" s="76">
        <f>VLOOKUP(C34,'[1]challan online'!$G$3:$Q$52,11,0)</f>
        <v>100</v>
      </c>
      <c r="J34" s="76">
        <v>66.581913861912682</v>
      </c>
      <c r="K34" s="76">
        <v>3</v>
      </c>
      <c r="L34" s="76">
        <v>3</v>
      </c>
    </row>
    <row r="35" spans="1:12" x14ac:dyDescent="0.2">
      <c r="A35" s="75">
        <v>35</v>
      </c>
      <c r="B35" s="75" t="s">
        <v>123</v>
      </c>
      <c r="C35" s="75" t="s">
        <v>64</v>
      </c>
      <c r="D35" s="75" t="s">
        <v>166</v>
      </c>
      <c r="E35" s="76">
        <v>41.305159914951702</v>
      </c>
      <c r="F35" s="76">
        <v>65.464366091522891</v>
      </c>
      <c r="G35" s="76">
        <v>97.953809575306934</v>
      </c>
      <c r="H35" s="76">
        <f>VLOOKUP(C35,'[1]challan pendency'!$B$3:$L$52,11,0)</f>
        <v>41.09959441189725</v>
      </c>
      <c r="I35" s="76">
        <f>VLOOKUP(C35,'[1]challan online'!$G$3:$Q$52,11,0)</f>
        <v>100</v>
      </c>
      <c r="J35" s="76">
        <v>65.058952830642028</v>
      </c>
      <c r="K35" s="76">
        <v>4</v>
      </c>
      <c r="L35" s="76">
        <v>4</v>
      </c>
    </row>
    <row r="36" spans="1:12" x14ac:dyDescent="0.2">
      <c r="A36" s="75">
        <v>36</v>
      </c>
      <c r="B36" s="75" t="s">
        <v>123</v>
      </c>
      <c r="C36" s="75" t="s">
        <v>68</v>
      </c>
      <c r="D36" s="75" t="s">
        <v>159</v>
      </c>
      <c r="E36" s="76">
        <v>46.710564470147425</v>
      </c>
      <c r="F36" s="76">
        <v>82.364073777064959</v>
      </c>
      <c r="G36" s="76">
        <v>83.615816806582387</v>
      </c>
      <c r="H36" s="76">
        <f>VLOOKUP(C36,'[1]challan pendency'!$B$3:$L$52,11,0)</f>
        <v>6.8110123315170634</v>
      </c>
      <c r="I36" s="76">
        <f>VLOOKUP(C36,'[1]challan online'!$G$3:$Q$52,11,0)</f>
        <v>100</v>
      </c>
      <c r="J36" s="76">
        <v>63.219909192577141</v>
      </c>
      <c r="K36" s="76">
        <v>5</v>
      </c>
      <c r="L36" s="76">
        <v>5</v>
      </c>
    </row>
    <row r="37" spans="1:12" x14ac:dyDescent="0.2">
      <c r="A37" s="75">
        <v>37</v>
      </c>
      <c r="B37" s="75" t="s">
        <v>123</v>
      </c>
      <c r="C37" s="75" t="s">
        <v>95</v>
      </c>
      <c r="D37" s="75" t="s">
        <v>155</v>
      </c>
      <c r="E37" s="76">
        <v>67.874574720709774</v>
      </c>
      <c r="F37" s="76">
        <v>47.982139534883721</v>
      </c>
      <c r="G37" s="76">
        <v>96.107366208274499</v>
      </c>
      <c r="H37" s="76">
        <f>VLOOKUP(C37,'[1]challan pendency'!$B$3:$L$52,11,0)</f>
        <v>2.5306694707325623</v>
      </c>
      <c r="I37" s="76">
        <f>VLOOKUP(C37,'[1]challan online'!$G$3:$Q$52,11,0)</f>
        <v>99.01315789473685</v>
      </c>
      <c r="J37" s="76">
        <v>62.4487810050543</v>
      </c>
      <c r="K37" s="76">
        <v>6</v>
      </c>
      <c r="L37" s="76">
        <v>6</v>
      </c>
    </row>
    <row r="38" spans="1:12" x14ac:dyDescent="0.2">
      <c r="A38" s="75">
        <v>38</v>
      </c>
      <c r="B38" s="75" t="s">
        <v>123</v>
      </c>
      <c r="C38" s="75" t="s">
        <v>59</v>
      </c>
      <c r="D38" s="75" t="s">
        <v>156</v>
      </c>
      <c r="E38" s="76">
        <v>53.902101291926009</v>
      </c>
      <c r="F38" s="76">
        <v>51.337674418604664</v>
      </c>
      <c r="G38" s="76">
        <v>99.132635206116163</v>
      </c>
      <c r="H38" s="76">
        <f>VLOOKUP(C38,'[1]challan pendency'!$B$3:$L$52,11,0)</f>
        <v>2.859375452203861</v>
      </c>
      <c r="I38" s="76">
        <f>VLOOKUP(C38,'[1]challan online'!$G$3:$Q$52,11,0)</f>
        <v>99.358974358974365</v>
      </c>
      <c r="J38" s="76">
        <v>61.032515587234329</v>
      </c>
      <c r="K38" s="76">
        <v>7</v>
      </c>
      <c r="L38" s="76">
        <v>7</v>
      </c>
    </row>
    <row r="39" spans="1:12" x14ac:dyDescent="0.2">
      <c r="A39" s="75">
        <v>39</v>
      </c>
      <c r="B39" s="75" t="s">
        <v>123</v>
      </c>
      <c r="C39" s="75" t="s">
        <v>69</v>
      </c>
      <c r="D39" s="75" t="s">
        <v>158</v>
      </c>
      <c r="E39" s="76">
        <v>49.686265037229695</v>
      </c>
      <c r="F39" s="76">
        <v>60.657807308970099</v>
      </c>
      <c r="G39" s="76">
        <v>89.183449760756901</v>
      </c>
      <c r="H39" s="76">
        <f>VLOOKUP(C39,'[1]challan pendency'!$B$3:$L$52,11,0)</f>
        <v>5.6940063091482651</v>
      </c>
      <c r="I39" s="76">
        <f>VLOOKUP(C39,'[1]challan online'!$G$3:$Q$52,11,0)</f>
        <v>100</v>
      </c>
      <c r="J39" s="76">
        <v>60.475504421391335</v>
      </c>
      <c r="K39" s="76">
        <v>8</v>
      </c>
      <c r="L39" s="76">
        <v>8</v>
      </c>
    </row>
    <row r="40" spans="1:12" x14ac:dyDescent="0.2">
      <c r="A40" s="75">
        <v>40</v>
      </c>
      <c r="B40" s="75" t="s">
        <v>123</v>
      </c>
      <c r="C40" s="75" t="s">
        <v>55</v>
      </c>
      <c r="D40" s="75" t="s">
        <v>154</v>
      </c>
      <c r="E40" s="76">
        <v>32.723429969717351</v>
      </c>
      <c r="F40" s="76">
        <v>67.291400031215858</v>
      </c>
      <c r="G40" s="76">
        <v>98.78500565476655</v>
      </c>
      <c r="H40" s="76">
        <f>VLOOKUP(C40,'[1]challan pendency'!$B$3:$L$52,11,0)</f>
        <v>3.4282095401969221</v>
      </c>
      <c r="I40" s="76">
        <f>VLOOKUP(C40,'[1]challan online'!$G$3:$Q$52,11,0)</f>
        <v>100</v>
      </c>
      <c r="J40" s="76">
        <v>60.103148949321778</v>
      </c>
      <c r="K40" s="76">
        <v>9</v>
      </c>
      <c r="L40" s="76">
        <v>9</v>
      </c>
    </row>
    <row r="41" spans="1:12" x14ac:dyDescent="0.2">
      <c r="A41" s="75">
        <v>41</v>
      </c>
      <c r="B41" s="75" t="s">
        <v>123</v>
      </c>
      <c r="C41" s="75" t="s">
        <v>49</v>
      </c>
      <c r="D41" s="75" t="s">
        <v>165</v>
      </c>
      <c r="E41" s="76">
        <v>30.219376510625118</v>
      </c>
      <c r="F41" s="76">
        <v>64.422182468694103</v>
      </c>
      <c r="G41" s="76">
        <v>96.516240408527324</v>
      </c>
      <c r="H41" s="76">
        <f>VLOOKUP(C41,'[1]challan pendency'!$B$3:$L$52,11,0)</f>
        <v>2.541827010421656</v>
      </c>
      <c r="I41" s="76">
        <f>VLOOKUP(C41,'[1]challan online'!$G$3:$Q$52,11,0)</f>
        <v>99.176954732510296</v>
      </c>
      <c r="J41" s="76">
        <v>58.32140108585147</v>
      </c>
      <c r="K41" s="76">
        <v>10</v>
      </c>
      <c r="L41" s="76">
        <v>10</v>
      </c>
    </row>
    <row r="42" spans="1:12" x14ac:dyDescent="0.2">
      <c r="A42" s="75">
        <v>42</v>
      </c>
      <c r="B42" s="75" t="s">
        <v>123</v>
      </c>
      <c r="C42" s="75" t="s">
        <v>42</v>
      </c>
      <c r="D42" s="75" t="s">
        <v>164</v>
      </c>
      <c r="E42" s="76">
        <v>12.346304831439635</v>
      </c>
      <c r="F42" s="76">
        <v>73.002206756068574</v>
      </c>
      <c r="G42" s="76">
        <v>100</v>
      </c>
      <c r="H42" s="76">
        <f>VLOOKUP(C42,'[1]challan pendency'!$B$3:$L$52,11,0)</f>
        <v>4.7609459247824244</v>
      </c>
      <c r="I42" s="76">
        <f>VLOOKUP(C42,'[1]challan online'!$G$3:$Q$52,11,0)</f>
        <v>98.214285714285708</v>
      </c>
      <c r="J42" s="76">
        <v>57.189155205039626</v>
      </c>
      <c r="K42" s="76">
        <v>11</v>
      </c>
      <c r="L42" s="76">
        <v>11</v>
      </c>
    </row>
    <row r="43" spans="1:12" x14ac:dyDescent="0.2">
      <c r="A43" s="75">
        <v>43</v>
      </c>
      <c r="B43" s="75" t="s">
        <v>123</v>
      </c>
      <c r="C43" s="75" t="s">
        <v>85</v>
      </c>
      <c r="D43" s="75" t="s">
        <v>163</v>
      </c>
      <c r="E43" s="76">
        <v>30.280886336926088</v>
      </c>
      <c r="F43" s="76">
        <v>50.102083962549081</v>
      </c>
      <c r="G43" s="76">
        <v>99.822831416598319</v>
      </c>
      <c r="H43" s="76">
        <f>VLOOKUP(C43,'[1]challan pendency'!$B$3:$L$52,11,0)</f>
        <v>2.9968454258675079</v>
      </c>
      <c r="I43" s="76">
        <f>VLOOKUP(C43,'[1]challan online'!$G$3:$Q$52,11,0)</f>
        <v>100</v>
      </c>
      <c r="J43" s="76">
        <v>56.341160343214696</v>
      </c>
      <c r="K43" s="76">
        <v>12</v>
      </c>
      <c r="L43" s="76">
        <v>12</v>
      </c>
    </row>
    <row r="44" spans="1:12" x14ac:dyDescent="0.2">
      <c r="A44" s="75">
        <v>44</v>
      </c>
      <c r="B44" s="75" t="s">
        <v>123</v>
      </c>
      <c r="C44" s="75" t="s">
        <v>57</v>
      </c>
      <c r="D44" s="75" t="s">
        <v>160</v>
      </c>
      <c r="E44" s="76">
        <v>25.416735577356175</v>
      </c>
      <c r="F44" s="76">
        <v>54.670142872040884</v>
      </c>
      <c r="G44" s="76">
        <v>98.261285600120743</v>
      </c>
      <c r="H44" s="76">
        <f>VLOOKUP(C44,'[1]challan pendency'!$B$3:$L$52,11,0)</f>
        <v>6.6838734346620781</v>
      </c>
      <c r="I44" s="76">
        <f>VLOOKUP(C44,'[1]challan online'!$G$3:$Q$52,11,0)</f>
        <v>98.91304347826086</v>
      </c>
      <c r="J44" s="76">
        <v>56.121332414646645</v>
      </c>
      <c r="K44" s="76">
        <v>13</v>
      </c>
      <c r="L44" s="76">
        <v>13</v>
      </c>
    </row>
    <row r="45" spans="1:12" x14ac:dyDescent="0.2">
      <c r="A45" s="75">
        <v>45</v>
      </c>
      <c r="B45" s="75" t="s">
        <v>123</v>
      </c>
      <c r="C45" s="75" t="s">
        <v>77</v>
      </c>
      <c r="D45" s="75" t="s">
        <v>167</v>
      </c>
      <c r="E45" s="76">
        <v>33.938923776376342</v>
      </c>
      <c r="F45" s="76">
        <v>48.13212595184195</v>
      </c>
      <c r="G45" s="76">
        <v>95.160099220534647</v>
      </c>
      <c r="H45" s="76">
        <f>VLOOKUP(C45,'[1]challan pendency'!$B$3:$L$52,11,0)</f>
        <v>4.6012172195137495</v>
      </c>
      <c r="I45" s="76">
        <f>VLOOKUP(C45,'[1]challan online'!$G$3:$Q$52,11,0)</f>
        <v>100</v>
      </c>
      <c r="J45" s="76">
        <v>55.90683585035665</v>
      </c>
      <c r="K45" s="76">
        <v>14</v>
      </c>
      <c r="L45" s="76">
        <v>14</v>
      </c>
    </row>
    <row r="46" spans="1:12" x14ac:dyDescent="0.2">
      <c r="A46" s="75">
        <v>46</v>
      </c>
      <c r="B46" s="75" t="s">
        <v>123</v>
      </c>
      <c r="C46" s="75" t="s">
        <v>74</v>
      </c>
      <c r="D46" s="75" t="s">
        <v>168</v>
      </c>
      <c r="E46" s="76">
        <v>29.296467155879064</v>
      </c>
      <c r="F46" s="76">
        <v>52.94673668417105</v>
      </c>
      <c r="G46" s="76">
        <v>96.483755507201565</v>
      </c>
      <c r="H46" s="76">
        <f>VLOOKUP(C46,'[1]challan pendency'!$B$3:$L$52,11,0)</f>
        <v>4.0956887486855944</v>
      </c>
      <c r="I46" s="76">
        <f>VLOOKUP(C46,'[1]challan online'!$G$3:$Q$52,11,0)</f>
        <v>92.682926829268297</v>
      </c>
      <c r="J46" s="76">
        <v>54.691977235304002</v>
      </c>
      <c r="K46" s="76">
        <v>15</v>
      </c>
      <c r="L46" s="76">
        <v>15</v>
      </c>
    </row>
    <row r="47" spans="1:12" x14ac:dyDescent="0.2">
      <c r="A47" s="75">
        <v>47</v>
      </c>
      <c r="B47" s="75" t="s">
        <v>123</v>
      </c>
      <c r="C47" s="75" t="s">
        <v>83</v>
      </c>
      <c r="D47" s="75" t="s">
        <v>157</v>
      </c>
      <c r="E47" s="76">
        <v>29.131778729137991</v>
      </c>
      <c r="F47" s="76">
        <v>27.707221542227668</v>
      </c>
      <c r="G47" s="76">
        <v>99.49294208701771</v>
      </c>
      <c r="H47" s="76">
        <f>VLOOKUP(C47,'[1]challan pendency'!$B$3:$L$52,11,0)</f>
        <v>13.485804416403788</v>
      </c>
      <c r="I47" s="76">
        <f>VLOOKUP(C47,'[1]challan online'!$G$3:$Q$52,11,0)</f>
        <v>100</v>
      </c>
      <c r="J47" s="76">
        <v>52.616388471676672</v>
      </c>
      <c r="K47" s="76">
        <v>16</v>
      </c>
      <c r="L47" s="76">
        <v>16</v>
      </c>
    </row>
    <row r="48" spans="1:12" x14ac:dyDescent="0.2">
      <c r="A48" s="75">
        <v>48</v>
      </c>
      <c r="B48" s="75" t="s">
        <v>123</v>
      </c>
      <c r="C48" s="75" t="s">
        <v>43</v>
      </c>
      <c r="D48" s="75" t="s">
        <v>169</v>
      </c>
      <c r="E48" s="76">
        <v>15.840517715216846</v>
      </c>
      <c r="F48" s="76">
        <v>42.947368421052637</v>
      </c>
      <c r="G48" s="76">
        <v>99.116104526214144</v>
      </c>
      <c r="H48" s="76">
        <f>VLOOKUP(C48,'[1]challan pendency'!$B$3:$L$52,11,0)</f>
        <v>2.8231152562520001</v>
      </c>
      <c r="I48" s="76">
        <f>VLOOKUP(C48,'[1]challan online'!$G$3:$Q$52,11,0)</f>
        <v>100</v>
      </c>
      <c r="J48" s="76">
        <v>51.863406828148904</v>
      </c>
      <c r="K48" s="76">
        <v>17</v>
      </c>
      <c r="L48" s="76">
        <v>17</v>
      </c>
    </row>
    <row r="49" spans="1:12" x14ac:dyDescent="0.2">
      <c r="A49" s="75">
        <v>49</v>
      </c>
      <c r="B49" s="75" t="s">
        <v>123</v>
      </c>
      <c r="C49" s="75" t="s">
        <v>16</v>
      </c>
      <c r="D49" s="75" t="s">
        <v>170</v>
      </c>
      <c r="E49" s="76">
        <v>21.403516147424899</v>
      </c>
      <c r="F49" s="76">
        <v>32.970510668904339</v>
      </c>
      <c r="G49" s="76">
        <v>98.566659936671968</v>
      </c>
      <c r="H49" s="76">
        <f>VLOOKUP(C49,'[1]challan pendency'!$B$3:$L$52,11,0)</f>
        <v>3.7103800510740572</v>
      </c>
      <c r="I49" s="76">
        <f>VLOOKUP(C49,'[1]challan online'!$G$3:$Q$52,11,0)</f>
        <v>97.802197802197796</v>
      </c>
      <c r="J49" s="76">
        <v>50.520005482468378</v>
      </c>
      <c r="K49" s="76">
        <v>18</v>
      </c>
      <c r="L49" s="76">
        <v>18</v>
      </c>
    </row>
    <row r="50" spans="1:12" x14ac:dyDescent="0.2">
      <c r="A50" s="75">
        <v>50</v>
      </c>
      <c r="B50" s="75" t="s">
        <v>123</v>
      </c>
      <c r="C50" s="75" t="s">
        <v>45</v>
      </c>
      <c r="D50" s="75" t="s">
        <v>162</v>
      </c>
      <c r="E50" s="76">
        <v>15.575390166808681</v>
      </c>
      <c r="F50" s="76">
        <v>32.779710675700422</v>
      </c>
      <c r="G50" s="76">
        <v>96.393890080428307</v>
      </c>
      <c r="H50" s="76">
        <f>VLOOKUP(C50,'[1]challan pendency'!$B$3:$L$52,11,0)</f>
        <v>3.1456249860169585</v>
      </c>
      <c r="I50" s="76">
        <f>VLOOKUP(C50,'[1]challan online'!$G$3:$Q$52,11,0)</f>
        <v>48.648648648648653</v>
      </c>
      <c r="J50" s="76">
        <v>38.679527914317212</v>
      </c>
      <c r="K50" s="76">
        <v>19</v>
      </c>
      <c r="L50" s="76">
        <v>19</v>
      </c>
    </row>
    <row r="51" spans="1:12" x14ac:dyDescent="0.2">
      <c r="A51" s="75">
        <v>31</v>
      </c>
      <c r="B51" s="75" t="s">
        <v>123</v>
      </c>
      <c r="C51" s="75" t="s">
        <v>14</v>
      </c>
      <c r="D51" s="75" t="s">
        <v>173</v>
      </c>
      <c r="E51" s="76">
        <v>31.792610637346421</v>
      </c>
      <c r="F51" s="76">
        <v>42.420656634746926</v>
      </c>
      <c r="G51" s="76">
        <v>93.780445958066721</v>
      </c>
      <c r="H51" s="76">
        <f>VLOOKUP(C51,'[1]challan pendency'!$B$3:$L$52,11,0)</f>
        <v>0</v>
      </c>
      <c r="I51" s="76">
        <f>VLOOKUP(C51,'[1]challan online'!$G$3:$Q$52,11,0)</f>
        <v>0</v>
      </c>
      <c r="J51" s="76">
        <f>AVERAGE(E51:I51)</f>
        <v>33.598742646032015</v>
      </c>
      <c r="K51" s="76">
        <v>20</v>
      </c>
      <c r="L51" s="76">
        <v>20</v>
      </c>
    </row>
  </sheetData>
  <pageMargins left="0.7" right="0.7" top="0.75" bottom="0.75" header="0.3" footer="0.3"/>
  <pageSetup orientation="portrait" horizontalDpi="90" verticalDpi="9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67922-4662-41DC-B605-4C320B7E0D91}">
  <sheetPr>
    <tabColor rgb="FF002060"/>
  </sheetPr>
  <dimension ref="A1:O83"/>
  <sheetViews>
    <sheetView zoomScale="80" zoomScaleNormal="80" workbookViewId="0">
      <pane ySplit="1" topLeftCell="A2" activePane="bottomLeft" state="frozen"/>
      <selection pane="bottomLeft" sqref="A1:O52"/>
    </sheetView>
  </sheetViews>
  <sheetFormatPr baseColWidth="10" defaultColWidth="8.83203125" defaultRowHeight="15" x14ac:dyDescent="0.2"/>
  <cols>
    <col min="3" max="3" width="29" bestFit="1" customWidth="1"/>
    <col min="4" max="4" width="14" customWidth="1"/>
    <col min="5" max="5" width="15.6640625" customWidth="1"/>
    <col min="6" max="13" width="14.5" customWidth="1"/>
    <col min="14" max="14" width="16" customWidth="1"/>
  </cols>
  <sheetData>
    <row r="1" spans="1:15" ht="32" x14ac:dyDescent="0.2">
      <c r="A1" s="1" t="s">
        <v>97</v>
      </c>
      <c r="B1" s="1" t="s">
        <v>1</v>
      </c>
      <c r="C1" s="1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2" t="s">
        <v>103</v>
      </c>
      <c r="I1" s="2" t="s">
        <v>104</v>
      </c>
      <c r="J1" s="2" t="s">
        <v>105</v>
      </c>
      <c r="K1" s="2" t="s">
        <v>106</v>
      </c>
      <c r="L1" s="2" t="s">
        <v>107</v>
      </c>
      <c r="M1" s="2" t="s">
        <v>108</v>
      </c>
      <c r="N1" s="2" t="s">
        <v>298</v>
      </c>
      <c r="O1" s="2" t="s">
        <v>234</v>
      </c>
    </row>
    <row r="2" spans="1:15" x14ac:dyDescent="0.2">
      <c r="A2" s="3">
        <v>1</v>
      </c>
      <c r="B2" s="4" t="s">
        <v>68</v>
      </c>
      <c r="C2" s="4" t="s">
        <v>109</v>
      </c>
      <c r="D2" s="5">
        <v>0</v>
      </c>
      <c r="E2" s="5">
        <v>4277199</v>
      </c>
      <c r="F2" s="5">
        <v>4277199</v>
      </c>
      <c r="G2" s="5">
        <v>5213896</v>
      </c>
      <c r="H2" s="5">
        <v>23921049</v>
      </c>
      <c r="I2" s="5">
        <v>47933</v>
      </c>
      <c r="J2" s="5">
        <f t="shared" ref="J2:J33" si="0">SUM(G2:I2)</f>
        <v>29182878</v>
      </c>
      <c r="K2" s="5">
        <f t="shared" ref="K2:K33" si="1">+D2+G2</f>
        <v>5213896</v>
      </c>
      <c r="L2" s="5">
        <f t="shared" ref="L2:L33" si="2">+E2+H2</f>
        <v>28198248</v>
      </c>
      <c r="M2" s="5">
        <f t="shared" ref="M2:M33" si="3">+F2+J2</f>
        <v>33460077</v>
      </c>
      <c r="N2" s="6">
        <f t="shared" ref="N2:N33" si="4">(K2/M2)</f>
        <v>0.15582438737364532</v>
      </c>
      <c r="O2" s="62">
        <v>100</v>
      </c>
    </row>
    <row r="3" spans="1:15" x14ac:dyDescent="0.2">
      <c r="A3" s="3">
        <v>2</v>
      </c>
      <c r="B3" s="4" t="s">
        <v>66</v>
      </c>
      <c r="C3" s="4" t="s">
        <v>67</v>
      </c>
      <c r="D3" s="5">
        <v>0</v>
      </c>
      <c r="E3" s="5">
        <v>1441907</v>
      </c>
      <c r="F3" s="5">
        <v>1441907</v>
      </c>
      <c r="G3" s="5">
        <v>10569695</v>
      </c>
      <c r="H3" s="5">
        <v>69567144</v>
      </c>
      <c r="I3" s="5">
        <v>85050</v>
      </c>
      <c r="J3" s="5">
        <f t="shared" si="0"/>
        <v>80221889</v>
      </c>
      <c r="K3" s="5">
        <f t="shared" si="1"/>
        <v>10569695</v>
      </c>
      <c r="L3" s="5">
        <f t="shared" si="2"/>
        <v>71009051</v>
      </c>
      <c r="M3" s="5">
        <f t="shared" si="3"/>
        <v>81663796</v>
      </c>
      <c r="N3" s="6">
        <f t="shared" si="4"/>
        <v>0.12942938630969347</v>
      </c>
      <c r="O3" s="62">
        <f t="shared" ref="O3:O38" si="5">(N3/$N$2)*$O$2</f>
        <v>83.061058985163669</v>
      </c>
    </row>
    <row r="4" spans="1:15" x14ac:dyDescent="0.2">
      <c r="A4" s="3">
        <v>3</v>
      </c>
      <c r="B4" s="4" t="s">
        <v>51</v>
      </c>
      <c r="C4" s="4" t="s">
        <v>52</v>
      </c>
      <c r="D4" s="5">
        <v>0</v>
      </c>
      <c r="E4" s="5">
        <v>2796084</v>
      </c>
      <c r="F4" s="5">
        <v>2796084</v>
      </c>
      <c r="G4" s="5">
        <v>9133283</v>
      </c>
      <c r="H4" s="5">
        <v>71995068</v>
      </c>
      <c r="I4" s="5">
        <v>647600</v>
      </c>
      <c r="J4" s="5">
        <f t="shared" si="0"/>
        <v>81775951</v>
      </c>
      <c r="K4" s="5">
        <f t="shared" si="1"/>
        <v>9133283</v>
      </c>
      <c r="L4" s="5">
        <f t="shared" si="2"/>
        <v>74791152</v>
      </c>
      <c r="M4" s="5">
        <f t="shared" si="3"/>
        <v>84572035</v>
      </c>
      <c r="N4" s="6">
        <f t="shared" si="4"/>
        <v>0.10799412595428264</v>
      </c>
      <c r="O4" s="62">
        <f t="shared" si="5"/>
        <v>69.305022002318324</v>
      </c>
    </row>
    <row r="5" spans="1:15" x14ac:dyDescent="0.2">
      <c r="A5" s="3">
        <v>4</v>
      </c>
      <c r="B5" s="4" t="s">
        <v>69</v>
      </c>
      <c r="C5" s="4" t="s">
        <v>70</v>
      </c>
      <c r="D5" s="5">
        <v>0</v>
      </c>
      <c r="E5" s="5">
        <v>2259109</v>
      </c>
      <c r="F5" s="5">
        <v>2259109</v>
      </c>
      <c r="G5" s="5">
        <v>3639376</v>
      </c>
      <c r="H5" s="5">
        <v>29233087</v>
      </c>
      <c r="I5" s="5">
        <v>0</v>
      </c>
      <c r="J5" s="5">
        <f t="shared" si="0"/>
        <v>32872463</v>
      </c>
      <c r="K5" s="5">
        <f t="shared" si="1"/>
        <v>3639376</v>
      </c>
      <c r="L5" s="5">
        <f t="shared" si="2"/>
        <v>31492196</v>
      </c>
      <c r="M5" s="5">
        <f t="shared" si="3"/>
        <v>35131572</v>
      </c>
      <c r="N5" s="6">
        <f t="shared" si="4"/>
        <v>0.10359274557938938</v>
      </c>
      <c r="O5" s="62">
        <f t="shared" si="5"/>
        <v>66.480444637326457</v>
      </c>
    </row>
    <row r="6" spans="1:15" x14ac:dyDescent="0.2">
      <c r="A6" s="3">
        <v>5</v>
      </c>
      <c r="B6" s="4" t="s">
        <v>76</v>
      </c>
      <c r="C6" s="4" t="s">
        <v>111</v>
      </c>
      <c r="D6" s="5">
        <v>0</v>
      </c>
      <c r="E6" s="5">
        <v>2129724</v>
      </c>
      <c r="F6" s="5">
        <v>2129724</v>
      </c>
      <c r="G6" s="5">
        <v>11812219</v>
      </c>
      <c r="H6" s="5">
        <v>121687058</v>
      </c>
      <c r="I6" s="5">
        <v>3538072</v>
      </c>
      <c r="J6" s="5">
        <f t="shared" si="0"/>
        <v>137037349</v>
      </c>
      <c r="K6" s="5">
        <f t="shared" si="1"/>
        <v>11812219</v>
      </c>
      <c r="L6" s="5">
        <f t="shared" si="2"/>
        <v>123816782</v>
      </c>
      <c r="M6" s="5">
        <f t="shared" si="3"/>
        <v>139167073</v>
      </c>
      <c r="N6" s="6">
        <f t="shared" si="4"/>
        <v>8.4877972535931684E-2</v>
      </c>
      <c r="O6" s="62">
        <f t="shared" si="5"/>
        <v>54.470275138901115</v>
      </c>
    </row>
    <row r="7" spans="1:15" x14ac:dyDescent="0.2">
      <c r="A7" s="3">
        <v>6</v>
      </c>
      <c r="B7" s="4" t="s">
        <v>62</v>
      </c>
      <c r="C7" s="4" t="s">
        <v>63</v>
      </c>
      <c r="D7" s="5">
        <v>0</v>
      </c>
      <c r="E7" s="5">
        <v>6130098</v>
      </c>
      <c r="F7" s="5">
        <v>6130098</v>
      </c>
      <c r="G7" s="5">
        <v>2749734</v>
      </c>
      <c r="H7" s="5">
        <v>30290913</v>
      </c>
      <c r="I7" s="5">
        <v>691077</v>
      </c>
      <c r="J7" s="5">
        <f t="shared" si="0"/>
        <v>33731724</v>
      </c>
      <c r="K7" s="5">
        <f t="shared" si="1"/>
        <v>2749734</v>
      </c>
      <c r="L7" s="5">
        <f t="shared" si="2"/>
        <v>36421011</v>
      </c>
      <c r="M7" s="5">
        <f t="shared" si="3"/>
        <v>39861822</v>
      </c>
      <c r="N7" s="6">
        <f t="shared" si="4"/>
        <v>6.8981643638868287E-2</v>
      </c>
      <c r="O7" s="61">
        <f t="shared" si="5"/>
        <v>44.268836734432234</v>
      </c>
    </row>
    <row r="8" spans="1:15" x14ac:dyDescent="0.2">
      <c r="A8" s="3">
        <v>7</v>
      </c>
      <c r="B8" s="4" t="s">
        <v>71</v>
      </c>
      <c r="C8" s="4" t="s">
        <v>115</v>
      </c>
      <c r="D8" s="5">
        <v>0</v>
      </c>
      <c r="E8" s="5">
        <v>2481301</v>
      </c>
      <c r="F8" s="5">
        <v>2481301</v>
      </c>
      <c r="G8" s="5">
        <v>1874631</v>
      </c>
      <c r="H8" s="5">
        <v>24945524</v>
      </c>
      <c r="I8" s="5">
        <v>0</v>
      </c>
      <c r="J8" s="5">
        <f t="shared" si="0"/>
        <v>26820155</v>
      </c>
      <c r="K8" s="5">
        <f t="shared" si="1"/>
        <v>1874631</v>
      </c>
      <c r="L8" s="5">
        <f t="shared" si="2"/>
        <v>27426825</v>
      </c>
      <c r="M8" s="5">
        <f t="shared" si="3"/>
        <v>29301456</v>
      </c>
      <c r="N8" s="6">
        <f t="shared" si="4"/>
        <v>6.3977400986490227E-2</v>
      </c>
      <c r="O8" s="62">
        <f t="shared" si="5"/>
        <v>41.057373665831442</v>
      </c>
    </row>
    <row r="9" spans="1:15" x14ac:dyDescent="0.2">
      <c r="A9" s="3">
        <v>8</v>
      </c>
      <c r="B9" s="4" t="s">
        <v>14</v>
      </c>
      <c r="C9" s="4" t="s">
        <v>15</v>
      </c>
      <c r="D9" s="5">
        <v>300</v>
      </c>
      <c r="E9" s="5">
        <v>2964688</v>
      </c>
      <c r="F9" s="5">
        <v>2964988</v>
      </c>
      <c r="G9" s="5">
        <v>1721158</v>
      </c>
      <c r="H9" s="5">
        <v>26171420</v>
      </c>
      <c r="I9" s="5">
        <v>0</v>
      </c>
      <c r="J9" s="5">
        <f t="shared" si="0"/>
        <v>27892578</v>
      </c>
      <c r="K9" s="5">
        <f t="shared" si="1"/>
        <v>1721458</v>
      </c>
      <c r="L9" s="5">
        <f t="shared" si="2"/>
        <v>29136108</v>
      </c>
      <c r="M9" s="5">
        <f t="shared" si="3"/>
        <v>30857566</v>
      </c>
      <c r="N9" s="6">
        <f t="shared" si="4"/>
        <v>5.5787225732580464E-2</v>
      </c>
      <c r="O9" s="61">
        <f t="shared" si="5"/>
        <v>35.801344496102793</v>
      </c>
    </row>
    <row r="10" spans="1:15" x14ac:dyDescent="0.2">
      <c r="A10" s="3">
        <v>9</v>
      </c>
      <c r="B10" s="4" t="s">
        <v>77</v>
      </c>
      <c r="C10" s="4" t="s">
        <v>78</v>
      </c>
      <c r="D10" s="5">
        <v>0</v>
      </c>
      <c r="E10" s="5">
        <v>4080582</v>
      </c>
      <c r="F10" s="5">
        <v>4080582</v>
      </c>
      <c r="G10" s="5">
        <v>2658237</v>
      </c>
      <c r="H10" s="5">
        <v>40750280</v>
      </c>
      <c r="I10" s="5">
        <v>309608</v>
      </c>
      <c r="J10" s="5">
        <f t="shared" si="0"/>
        <v>43718125</v>
      </c>
      <c r="K10" s="5">
        <f t="shared" si="1"/>
        <v>2658237</v>
      </c>
      <c r="L10" s="5">
        <f t="shared" si="2"/>
        <v>44830862</v>
      </c>
      <c r="M10" s="5">
        <f t="shared" si="3"/>
        <v>47798707</v>
      </c>
      <c r="N10" s="6">
        <f t="shared" si="4"/>
        <v>5.5613157067198493E-2</v>
      </c>
      <c r="O10" s="62">
        <f t="shared" si="5"/>
        <v>35.689636265885547</v>
      </c>
    </row>
    <row r="11" spans="1:15" x14ac:dyDescent="0.2">
      <c r="A11" s="3">
        <v>10</v>
      </c>
      <c r="B11" s="4" t="s">
        <v>13</v>
      </c>
      <c r="C11" s="4" t="s">
        <v>110</v>
      </c>
      <c r="D11" s="5">
        <v>0</v>
      </c>
      <c r="E11" s="5">
        <v>10808827</v>
      </c>
      <c r="F11" s="5">
        <v>10808827</v>
      </c>
      <c r="G11" s="5">
        <v>4217592</v>
      </c>
      <c r="H11" s="5">
        <v>63275236</v>
      </c>
      <c r="I11" s="5">
        <v>305000</v>
      </c>
      <c r="J11" s="5">
        <f t="shared" si="0"/>
        <v>67797828</v>
      </c>
      <c r="K11" s="5">
        <f t="shared" si="1"/>
        <v>4217592</v>
      </c>
      <c r="L11" s="5">
        <f t="shared" si="2"/>
        <v>74084063</v>
      </c>
      <c r="M11" s="5">
        <f t="shared" si="3"/>
        <v>78606655</v>
      </c>
      <c r="N11" s="6">
        <f t="shared" si="4"/>
        <v>5.3654388422964952E-2</v>
      </c>
      <c r="O11" s="61">
        <f t="shared" si="5"/>
        <v>34.432600267061638</v>
      </c>
    </row>
    <row r="12" spans="1:15" x14ac:dyDescent="0.2">
      <c r="A12" s="3">
        <v>11</v>
      </c>
      <c r="B12" s="4" t="s">
        <v>61</v>
      </c>
      <c r="C12" s="4" t="s">
        <v>114</v>
      </c>
      <c r="D12" s="5">
        <v>0</v>
      </c>
      <c r="E12" s="5">
        <v>3979505</v>
      </c>
      <c r="F12" s="5">
        <v>3979505</v>
      </c>
      <c r="G12" s="5">
        <v>5400295</v>
      </c>
      <c r="H12" s="5">
        <v>90913766</v>
      </c>
      <c r="I12" s="5">
        <v>1861642</v>
      </c>
      <c r="J12" s="5">
        <f t="shared" si="0"/>
        <v>98175703</v>
      </c>
      <c r="K12" s="5">
        <f t="shared" si="1"/>
        <v>5400295</v>
      </c>
      <c r="L12" s="5">
        <f t="shared" si="2"/>
        <v>94893271</v>
      </c>
      <c r="M12" s="5">
        <f t="shared" si="3"/>
        <v>102155208</v>
      </c>
      <c r="N12" s="6">
        <f t="shared" si="4"/>
        <v>5.2863628842104653E-2</v>
      </c>
      <c r="O12" s="61">
        <f t="shared" si="5"/>
        <v>33.925131831479618</v>
      </c>
    </row>
    <row r="13" spans="1:15" x14ac:dyDescent="0.2">
      <c r="A13" s="3">
        <v>12</v>
      </c>
      <c r="B13" s="4" t="s">
        <v>40</v>
      </c>
      <c r="C13" s="4" t="s">
        <v>41</v>
      </c>
      <c r="D13" s="5">
        <v>0</v>
      </c>
      <c r="E13" s="5">
        <v>6624832</v>
      </c>
      <c r="F13" s="5">
        <v>6624832</v>
      </c>
      <c r="G13" s="5">
        <v>9344151</v>
      </c>
      <c r="H13" s="5">
        <v>166035698</v>
      </c>
      <c r="I13" s="5">
        <v>1998231</v>
      </c>
      <c r="J13" s="5">
        <f t="shared" si="0"/>
        <v>177378080</v>
      </c>
      <c r="K13" s="5">
        <f t="shared" si="1"/>
        <v>9344151</v>
      </c>
      <c r="L13" s="5">
        <f t="shared" si="2"/>
        <v>172660530</v>
      </c>
      <c r="M13" s="5">
        <f t="shared" si="3"/>
        <v>184002912</v>
      </c>
      <c r="N13" s="6">
        <f t="shared" si="4"/>
        <v>5.0782625657576547E-2</v>
      </c>
      <c r="O13" s="62">
        <f t="shared" si="5"/>
        <v>32.589652052221354</v>
      </c>
    </row>
    <row r="14" spans="1:15" x14ac:dyDescent="0.2">
      <c r="A14" s="3">
        <v>13</v>
      </c>
      <c r="B14" s="4" t="s">
        <v>49</v>
      </c>
      <c r="C14" s="4" t="s">
        <v>50</v>
      </c>
      <c r="D14" s="5">
        <v>0</v>
      </c>
      <c r="E14" s="5">
        <v>5045386</v>
      </c>
      <c r="F14" s="5">
        <v>5045386</v>
      </c>
      <c r="G14" s="5">
        <v>2063745</v>
      </c>
      <c r="H14" s="5">
        <v>35443274</v>
      </c>
      <c r="I14" s="5">
        <v>206467</v>
      </c>
      <c r="J14" s="5">
        <f t="shared" si="0"/>
        <v>37713486</v>
      </c>
      <c r="K14" s="5">
        <f t="shared" si="1"/>
        <v>2063745</v>
      </c>
      <c r="L14" s="5">
        <f t="shared" si="2"/>
        <v>40488660</v>
      </c>
      <c r="M14" s="5">
        <f t="shared" si="3"/>
        <v>42758872</v>
      </c>
      <c r="N14" s="6">
        <f t="shared" si="4"/>
        <v>4.8264720360256461E-2</v>
      </c>
      <c r="O14" s="61">
        <f t="shared" si="5"/>
        <v>30.973791184896072</v>
      </c>
    </row>
    <row r="15" spans="1:15" x14ac:dyDescent="0.2">
      <c r="A15" s="3">
        <v>14</v>
      </c>
      <c r="B15" s="4" t="s">
        <v>9</v>
      </c>
      <c r="C15" s="4" t="s">
        <v>10</v>
      </c>
      <c r="D15" s="5">
        <v>0</v>
      </c>
      <c r="E15" s="5">
        <v>15064590</v>
      </c>
      <c r="F15" s="5">
        <v>15064590</v>
      </c>
      <c r="G15" s="5">
        <v>20994446</v>
      </c>
      <c r="H15" s="5">
        <v>457865444</v>
      </c>
      <c r="I15" s="5">
        <v>10663620</v>
      </c>
      <c r="J15" s="5">
        <f t="shared" si="0"/>
        <v>489523510</v>
      </c>
      <c r="K15" s="5">
        <f t="shared" si="1"/>
        <v>20994446</v>
      </c>
      <c r="L15" s="5">
        <f t="shared" si="2"/>
        <v>472930034</v>
      </c>
      <c r="M15" s="5">
        <f t="shared" si="3"/>
        <v>504588100</v>
      </c>
      <c r="N15" s="6">
        <f t="shared" si="4"/>
        <v>4.1607096956904059E-2</v>
      </c>
      <c r="O15" s="62">
        <f t="shared" si="5"/>
        <v>26.701274208854098</v>
      </c>
    </row>
    <row r="16" spans="1:15" x14ac:dyDescent="0.2">
      <c r="A16" s="3">
        <v>15</v>
      </c>
      <c r="B16" s="4" t="s">
        <v>53</v>
      </c>
      <c r="C16" s="4" t="s">
        <v>54</v>
      </c>
      <c r="D16" s="5">
        <v>0</v>
      </c>
      <c r="E16" s="5">
        <v>4917886</v>
      </c>
      <c r="F16" s="5">
        <v>4917886</v>
      </c>
      <c r="G16" s="5">
        <v>3049027</v>
      </c>
      <c r="H16" s="5">
        <v>79629097</v>
      </c>
      <c r="I16" s="5">
        <v>0</v>
      </c>
      <c r="J16" s="5">
        <f t="shared" si="0"/>
        <v>82678124</v>
      </c>
      <c r="K16" s="5">
        <f t="shared" si="1"/>
        <v>3049027</v>
      </c>
      <c r="L16" s="5">
        <f t="shared" si="2"/>
        <v>84546983</v>
      </c>
      <c r="M16" s="5">
        <f t="shared" si="3"/>
        <v>87596010</v>
      </c>
      <c r="N16" s="6">
        <f t="shared" si="4"/>
        <v>3.480782971735813E-2</v>
      </c>
      <c r="O16" s="62">
        <f t="shared" si="5"/>
        <v>22.33785757417661</v>
      </c>
    </row>
    <row r="17" spans="1:15" x14ac:dyDescent="0.2">
      <c r="A17" s="3">
        <v>16</v>
      </c>
      <c r="B17" s="4" t="s">
        <v>93</v>
      </c>
      <c r="C17" s="4" t="s">
        <v>94</v>
      </c>
      <c r="D17" s="5">
        <v>0</v>
      </c>
      <c r="E17" s="5">
        <v>8702052</v>
      </c>
      <c r="F17" s="5">
        <v>8702052</v>
      </c>
      <c r="G17" s="5">
        <v>4337430</v>
      </c>
      <c r="H17" s="5">
        <v>120299024</v>
      </c>
      <c r="I17" s="5">
        <v>1967019</v>
      </c>
      <c r="J17" s="5">
        <f t="shared" si="0"/>
        <v>126603473</v>
      </c>
      <c r="K17" s="5">
        <f t="shared" si="1"/>
        <v>4337430</v>
      </c>
      <c r="L17" s="5">
        <f t="shared" si="2"/>
        <v>129001076</v>
      </c>
      <c r="M17" s="5">
        <f t="shared" si="3"/>
        <v>135305525</v>
      </c>
      <c r="N17" s="6">
        <f t="shared" si="4"/>
        <v>3.2056562361366989E-2</v>
      </c>
      <c r="O17" s="62">
        <f t="shared" si="5"/>
        <v>20.572237055872257</v>
      </c>
    </row>
    <row r="18" spans="1:15" x14ac:dyDescent="0.2">
      <c r="A18" s="3">
        <v>17</v>
      </c>
      <c r="B18" s="4" t="s">
        <v>87</v>
      </c>
      <c r="C18" s="4" t="s">
        <v>88</v>
      </c>
      <c r="D18" s="5">
        <v>0</v>
      </c>
      <c r="E18" s="5">
        <v>2673131</v>
      </c>
      <c r="F18" s="5">
        <v>2673131</v>
      </c>
      <c r="G18" s="5">
        <v>9384662</v>
      </c>
      <c r="H18" s="5">
        <v>277780211</v>
      </c>
      <c r="I18" s="5">
        <v>3238012</v>
      </c>
      <c r="J18" s="5">
        <f t="shared" si="0"/>
        <v>290402885</v>
      </c>
      <c r="K18" s="5">
        <f t="shared" si="1"/>
        <v>9384662</v>
      </c>
      <c r="L18" s="5">
        <f t="shared" si="2"/>
        <v>280453342</v>
      </c>
      <c r="M18" s="5">
        <f t="shared" si="3"/>
        <v>293076016</v>
      </c>
      <c r="N18" s="6">
        <f t="shared" si="4"/>
        <v>3.2021255536652304E-2</v>
      </c>
      <c r="O18" s="62">
        <f t="shared" si="5"/>
        <v>20.549578969221145</v>
      </c>
    </row>
    <row r="19" spans="1:15" x14ac:dyDescent="0.2">
      <c r="A19" s="3">
        <v>18</v>
      </c>
      <c r="B19" s="4" t="s">
        <v>38</v>
      </c>
      <c r="C19" s="4" t="s">
        <v>39</v>
      </c>
      <c r="D19" s="5">
        <v>0</v>
      </c>
      <c r="E19" s="5">
        <v>3553828</v>
      </c>
      <c r="F19" s="5">
        <v>3553828</v>
      </c>
      <c r="G19" s="5">
        <v>3003465</v>
      </c>
      <c r="H19" s="5">
        <v>91134540</v>
      </c>
      <c r="I19" s="5">
        <v>1696890</v>
      </c>
      <c r="J19" s="5">
        <f t="shared" si="0"/>
        <v>95834895</v>
      </c>
      <c r="K19" s="5">
        <f t="shared" si="1"/>
        <v>3003465</v>
      </c>
      <c r="L19" s="5">
        <f t="shared" si="2"/>
        <v>94688368</v>
      </c>
      <c r="M19" s="5">
        <f t="shared" si="3"/>
        <v>99388723</v>
      </c>
      <c r="N19" s="6">
        <f t="shared" si="4"/>
        <v>3.0219374083315268E-2</v>
      </c>
      <c r="O19" s="62">
        <f t="shared" si="5"/>
        <v>19.393225022507799</v>
      </c>
    </row>
    <row r="20" spans="1:15" x14ac:dyDescent="0.2">
      <c r="A20" s="3">
        <v>19</v>
      </c>
      <c r="B20" s="4" t="s">
        <v>95</v>
      </c>
      <c r="C20" s="4" t="s">
        <v>96</v>
      </c>
      <c r="D20" s="5">
        <v>0</v>
      </c>
      <c r="E20" s="5">
        <v>8009707</v>
      </c>
      <c r="F20" s="5">
        <v>8009707</v>
      </c>
      <c r="G20" s="5">
        <v>1125860</v>
      </c>
      <c r="H20" s="5">
        <v>30306954</v>
      </c>
      <c r="I20" s="5">
        <v>294515</v>
      </c>
      <c r="J20" s="5">
        <f t="shared" si="0"/>
        <v>31727329</v>
      </c>
      <c r="K20" s="5">
        <f t="shared" si="1"/>
        <v>1125860</v>
      </c>
      <c r="L20" s="5">
        <f t="shared" si="2"/>
        <v>38316661</v>
      </c>
      <c r="M20" s="5">
        <f t="shared" si="3"/>
        <v>39737036</v>
      </c>
      <c r="N20" s="6">
        <f t="shared" si="4"/>
        <v>2.8332762413381812E-2</v>
      </c>
      <c r="O20" s="62">
        <f t="shared" si="5"/>
        <v>18.182495622744703</v>
      </c>
    </row>
    <row r="21" spans="1:15" x14ac:dyDescent="0.2">
      <c r="A21" s="3">
        <v>20</v>
      </c>
      <c r="B21" s="4" t="s">
        <v>47</v>
      </c>
      <c r="C21" s="4" t="s">
        <v>48</v>
      </c>
      <c r="D21" s="5">
        <v>0</v>
      </c>
      <c r="E21" s="5">
        <v>3643531</v>
      </c>
      <c r="F21" s="5">
        <v>3643531</v>
      </c>
      <c r="G21" s="5">
        <v>2182882</v>
      </c>
      <c r="H21" s="5">
        <v>71671748</v>
      </c>
      <c r="I21" s="5">
        <v>859392</v>
      </c>
      <c r="J21" s="5">
        <f t="shared" si="0"/>
        <v>74714022</v>
      </c>
      <c r="K21" s="5">
        <f t="shared" si="1"/>
        <v>2182882</v>
      </c>
      <c r="L21" s="5">
        <f t="shared" si="2"/>
        <v>75315279</v>
      </c>
      <c r="M21" s="5">
        <f t="shared" si="3"/>
        <v>78357553</v>
      </c>
      <c r="N21" s="6">
        <f t="shared" si="4"/>
        <v>2.7857965396137371E-2</v>
      </c>
      <c r="O21" s="62">
        <f t="shared" si="5"/>
        <v>17.877795552847466</v>
      </c>
    </row>
    <row r="22" spans="1:15" x14ac:dyDescent="0.2">
      <c r="A22" s="3">
        <v>21</v>
      </c>
      <c r="B22" s="4" t="s">
        <v>64</v>
      </c>
      <c r="C22" s="4" t="s">
        <v>65</v>
      </c>
      <c r="D22" s="5">
        <v>0</v>
      </c>
      <c r="E22" s="5">
        <v>2181600</v>
      </c>
      <c r="F22" s="5">
        <v>2181600</v>
      </c>
      <c r="G22" s="5">
        <v>581601</v>
      </c>
      <c r="H22" s="5">
        <v>18333761</v>
      </c>
      <c r="I22" s="5">
        <v>0</v>
      </c>
      <c r="J22" s="5">
        <f t="shared" si="0"/>
        <v>18915362</v>
      </c>
      <c r="K22" s="5">
        <f t="shared" si="1"/>
        <v>581601</v>
      </c>
      <c r="L22" s="5">
        <f t="shared" si="2"/>
        <v>20515361</v>
      </c>
      <c r="M22" s="5">
        <f t="shared" si="3"/>
        <v>21096962</v>
      </c>
      <c r="N22" s="6">
        <f t="shared" si="4"/>
        <v>2.7567997705072417E-2</v>
      </c>
      <c r="O22" s="61">
        <f t="shared" si="5"/>
        <v>17.691709346476152</v>
      </c>
    </row>
    <row r="23" spans="1:15" x14ac:dyDescent="0.2">
      <c r="A23" s="3">
        <v>22</v>
      </c>
      <c r="B23" s="4" t="s">
        <v>57</v>
      </c>
      <c r="C23" s="4" t="s">
        <v>58</v>
      </c>
      <c r="D23" s="5">
        <v>0</v>
      </c>
      <c r="E23" s="5">
        <v>3933508</v>
      </c>
      <c r="F23" s="5">
        <v>3933508</v>
      </c>
      <c r="G23" s="5">
        <v>1674283</v>
      </c>
      <c r="H23" s="5">
        <v>56645540</v>
      </c>
      <c r="I23" s="5">
        <v>0</v>
      </c>
      <c r="J23" s="5">
        <f t="shared" si="0"/>
        <v>58319823</v>
      </c>
      <c r="K23" s="5">
        <f t="shared" si="1"/>
        <v>1674283</v>
      </c>
      <c r="L23" s="5">
        <f t="shared" si="2"/>
        <v>60579048</v>
      </c>
      <c r="M23" s="5">
        <f t="shared" si="3"/>
        <v>62253331</v>
      </c>
      <c r="N23" s="6">
        <f t="shared" si="4"/>
        <v>2.6894673314750019E-2</v>
      </c>
      <c r="O23" s="62">
        <f t="shared" si="5"/>
        <v>17.259604717880464</v>
      </c>
    </row>
    <row r="24" spans="1:15" x14ac:dyDescent="0.2">
      <c r="A24" s="3">
        <v>23</v>
      </c>
      <c r="B24" s="4" t="s">
        <v>22</v>
      </c>
      <c r="C24" s="4" t="s">
        <v>23</v>
      </c>
      <c r="D24" s="5">
        <v>0</v>
      </c>
      <c r="E24" s="5">
        <v>6145204</v>
      </c>
      <c r="F24" s="5">
        <v>6145204</v>
      </c>
      <c r="G24" s="5">
        <v>2882285</v>
      </c>
      <c r="H24" s="5">
        <v>96382234</v>
      </c>
      <c r="I24" s="5">
        <v>2146211</v>
      </c>
      <c r="J24" s="5">
        <f t="shared" si="0"/>
        <v>101410730</v>
      </c>
      <c r="K24" s="5">
        <f t="shared" si="1"/>
        <v>2882285</v>
      </c>
      <c r="L24" s="5">
        <f t="shared" si="2"/>
        <v>102527438</v>
      </c>
      <c r="M24" s="5">
        <f t="shared" si="3"/>
        <v>107555934</v>
      </c>
      <c r="N24" s="6">
        <f t="shared" si="4"/>
        <v>2.6798010047497704E-2</v>
      </c>
      <c r="O24" s="62">
        <f t="shared" si="5"/>
        <v>17.197571252592052</v>
      </c>
    </row>
    <row r="25" spans="1:15" x14ac:dyDescent="0.2">
      <c r="A25" s="3">
        <v>24</v>
      </c>
      <c r="B25" s="4" t="s">
        <v>30</v>
      </c>
      <c r="C25" s="4" t="s">
        <v>31</v>
      </c>
      <c r="D25" s="5">
        <v>0</v>
      </c>
      <c r="E25" s="5">
        <v>13690843</v>
      </c>
      <c r="F25" s="5">
        <v>13690843</v>
      </c>
      <c r="G25" s="5">
        <v>6520999</v>
      </c>
      <c r="H25" s="5">
        <v>224492124</v>
      </c>
      <c r="I25" s="5">
        <v>2637169</v>
      </c>
      <c r="J25" s="5">
        <f t="shared" si="0"/>
        <v>233650292</v>
      </c>
      <c r="K25" s="5">
        <f t="shared" si="1"/>
        <v>6520999</v>
      </c>
      <c r="L25" s="5">
        <f t="shared" si="2"/>
        <v>238182967</v>
      </c>
      <c r="M25" s="5">
        <f t="shared" si="3"/>
        <v>247341135</v>
      </c>
      <c r="N25" s="6">
        <f t="shared" si="4"/>
        <v>2.6364393451982826E-2</v>
      </c>
      <c r="O25" s="62">
        <f t="shared" si="5"/>
        <v>16.919298638899608</v>
      </c>
    </row>
    <row r="26" spans="1:15" x14ac:dyDescent="0.2">
      <c r="A26" s="3">
        <v>25</v>
      </c>
      <c r="B26" s="4" t="s">
        <v>81</v>
      </c>
      <c r="C26" s="4" t="s">
        <v>82</v>
      </c>
      <c r="D26" s="5">
        <v>0</v>
      </c>
      <c r="E26" s="5">
        <v>3447875</v>
      </c>
      <c r="F26" s="5">
        <v>3447875</v>
      </c>
      <c r="G26" s="5">
        <v>6061194</v>
      </c>
      <c r="H26" s="5">
        <v>216672979</v>
      </c>
      <c r="I26" s="5">
        <v>5815918</v>
      </c>
      <c r="J26" s="5">
        <f t="shared" si="0"/>
        <v>228550091</v>
      </c>
      <c r="K26" s="5">
        <f t="shared" si="1"/>
        <v>6061194</v>
      </c>
      <c r="L26" s="5">
        <f t="shared" si="2"/>
        <v>220120854</v>
      </c>
      <c r="M26" s="5">
        <f t="shared" si="3"/>
        <v>231997966</v>
      </c>
      <c r="N26" s="6">
        <f t="shared" si="4"/>
        <v>2.612606526041698E-2</v>
      </c>
      <c r="O26" s="62">
        <f t="shared" si="5"/>
        <v>16.766351981715346</v>
      </c>
    </row>
    <row r="27" spans="1:15" x14ac:dyDescent="0.2">
      <c r="A27" s="3">
        <v>26</v>
      </c>
      <c r="B27" s="4" t="s">
        <v>34</v>
      </c>
      <c r="C27" s="4" t="s">
        <v>35</v>
      </c>
      <c r="D27" s="5">
        <v>0</v>
      </c>
      <c r="E27" s="5">
        <v>5999723</v>
      </c>
      <c r="F27" s="5">
        <v>5999723</v>
      </c>
      <c r="G27" s="5">
        <v>1780654</v>
      </c>
      <c r="H27" s="5">
        <v>64116132</v>
      </c>
      <c r="I27" s="5">
        <v>0</v>
      </c>
      <c r="J27" s="5">
        <f t="shared" si="0"/>
        <v>65896786</v>
      </c>
      <c r="K27" s="5">
        <f t="shared" si="1"/>
        <v>1780654</v>
      </c>
      <c r="L27" s="5">
        <f t="shared" si="2"/>
        <v>70115855</v>
      </c>
      <c r="M27" s="5">
        <f t="shared" si="3"/>
        <v>71896509</v>
      </c>
      <c r="N27" s="6">
        <f t="shared" si="4"/>
        <v>2.4766904885465301E-2</v>
      </c>
      <c r="O27" s="62">
        <f t="shared" si="5"/>
        <v>15.894113433013338</v>
      </c>
    </row>
    <row r="28" spans="1:15" x14ac:dyDescent="0.2">
      <c r="A28" s="3">
        <v>27</v>
      </c>
      <c r="B28" s="4" t="s">
        <v>72</v>
      </c>
      <c r="C28" s="4" t="s">
        <v>73</v>
      </c>
      <c r="D28" s="5">
        <v>0</v>
      </c>
      <c r="E28" s="5">
        <v>2218436</v>
      </c>
      <c r="F28" s="5">
        <v>2218436</v>
      </c>
      <c r="G28" s="5">
        <v>569582</v>
      </c>
      <c r="H28" s="5">
        <v>20230288</v>
      </c>
      <c r="I28" s="5">
        <v>0</v>
      </c>
      <c r="J28" s="5">
        <f t="shared" si="0"/>
        <v>20799870</v>
      </c>
      <c r="K28" s="5">
        <f t="shared" si="1"/>
        <v>569582</v>
      </c>
      <c r="L28" s="5">
        <f t="shared" si="2"/>
        <v>22448724</v>
      </c>
      <c r="M28" s="5">
        <f t="shared" si="3"/>
        <v>23018306</v>
      </c>
      <c r="N28" s="6">
        <f t="shared" si="4"/>
        <v>2.4744740121188762E-2</v>
      </c>
      <c r="O28" s="62">
        <f t="shared" si="5"/>
        <v>15.879889238296377</v>
      </c>
    </row>
    <row r="29" spans="1:15" x14ac:dyDescent="0.2">
      <c r="A29" s="3">
        <v>28</v>
      </c>
      <c r="B29" s="4" t="s">
        <v>32</v>
      </c>
      <c r="C29" s="4" t="s">
        <v>33</v>
      </c>
      <c r="D29" s="5">
        <v>0</v>
      </c>
      <c r="E29" s="5">
        <v>11291397</v>
      </c>
      <c r="F29" s="5">
        <v>11291397</v>
      </c>
      <c r="G29" s="5">
        <v>2647798</v>
      </c>
      <c r="H29" s="5">
        <v>93784162</v>
      </c>
      <c r="I29" s="5">
        <v>89943</v>
      </c>
      <c r="J29" s="5">
        <f t="shared" si="0"/>
        <v>96521903</v>
      </c>
      <c r="K29" s="5">
        <f t="shared" si="1"/>
        <v>2647798</v>
      </c>
      <c r="L29" s="5">
        <f t="shared" si="2"/>
        <v>105075559</v>
      </c>
      <c r="M29" s="5">
        <f t="shared" si="3"/>
        <v>107813300</v>
      </c>
      <c r="N29" s="6">
        <f t="shared" si="4"/>
        <v>2.4559103561434443E-2</v>
      </c>
      <c r="O29" s="62">
        <f t="shared" si="5"/>
        <v>15.760757334181017</v>
      </c>
    </row>
    <row r="30" spans="1:15" x14ac:dyDescent="0.2">
      <c r="A30" s="3">
        <v>29</v>
      </c>
      <c r="B30" s="4" t="s">
        <v>20</v>
      </c>
      <c r="C30" s="4" t="s">
        <v>21</v>
      </c>
      <c r="D30" s="5">
        <v>0</v>
      </c>
      <c r="E30" s="5">
        <v>12448481</v>
      </c>
      <c r="F30" s="5">
        <v>12448481</v>
      </c>
      <c r="G30" s="5">
        <v>2548310</v>
      </c>
      <c r="H30" s="5">
        <v>107312380</v>
      </c>
      <c r="I30" s="5">
        <v>264546</v>
      </c>
      <c r="J30" s="5">
        <f t="shared" si="0"/>
        <v>110125236</v>
      </c>
      <c r="K30" s="5">
        <f t="shared" si="1"/>
        <v>2548310</v>
      </c>
      <c r="L30" s="5">
        <f t="shared" si="2"/>
        <v>119760861</v>
      </c>
      <c r="M30" s="5">
        <f t="shared" si="3"/>
        <v>122573717</v>
      </c>
      <c r="N30" s="6">
        <f t="shared" si="4"/>
        <v>2.0790019772346464E-2</v>
      </c>
      <c r="O30" s="62">
        <f t="shared" si="5"/>
        <v>13.341955083381702</v>
      </c>
    </row>
    <row r="31" spans="1:15" x14ac:dyDescent="0.2">
      <c r="A31" s="3">
        <v>30</v>
      </c>
      <c r="B31" s="4" t="s">
        <v>74</v>
      </c>
      <c r="C31" s="4" t="s">
        <v>75</v>
      </c>
      <c r="D31" s="5">
        <v>0</v>
      </c>
      <c r="E31" s="5">
        <v>1709776</v>
      </c>
      <c r="F31" s="5">
        <v>1709776</v>
      </c>
      <c r="G31" s="5">
        <v>498489</v>
      </c>
      <c r="H31" s="5">
        <v>20197773</v>
      </c>
      <c r="I31" s="5">
        <v>2868613</v>
      </c>
      <c r="J31" s="5">
        <f t="shared" si="0"/>
        <v>23564875</v>
      </c>
      <c r="K31" s="5">
        <f t="shared" si="1"/>
        <v>498489</v>
      </c>
      <c r="L31" s="5">
        <f t="shared" si="2"/>
        <v>21907549</v>
      </c>
      <c r="M31" s="5">
        <f t="shared" si="3"/>
        <v>25274651</v>
      </c>
      <c r="N31" s="6">
        <f t="shared" si="4"/>
        <v>1.9722883611726232E-2</v>
      </c>
      <c r="O31" s="61">
        <f t="shared" si="5"/>
        <v>12.657122510890087</v>
      </c>
    </row>
    <row r="32" spans="1:15" x14ac:dyDescent="0.2">
      <c r="A32" s="3">
        <v>31</v>
      </c>
      <c r="B32" s="4" t="s">
        <v>55</v>
      </c>
      <c r="C32" s="4" t="s">
        <v>56</v>
      </c>
      <c r="D32" s="5">
        <v>0</v>
      </c>
      <c r="E32" s="5">
        <v>6420327</v>
      </c>
      <c r="F32" s="5">
        <v>6420327</v>
      </c>
      <c r="G32" s="5">
        <v>968597</v>
      </c>
      <c r="H32" s="5">
        <v>54423689</v>
      </c>
      <c r="I32" s="5">
        <v>0</v>
      </c>
      <c r="J32" s="5">
        <f t="shared" si="0"/>
        <v>55392286</v>
      </c>
      <c r="K32" s="5">
        <f t="shared" si="1"/>
        <v>968597</v>
      </c>
      <c r="L32" s="5">
        <f t="shared" si="2"/>
        <v>60844016</v>
      </c>
      <c r="M32" s="5">
        <f t="shared" si="3"/>
        <v>61812613</v>
      </c>
      <c r="N32" s="6">
        <f t="shared" si="4"/>
        <v>1.5669892486182391E-2</v>
      </c>
      <c r="O32" s="62">
        <f t="shared" si="5"/>
        <v>10.05612327459896</v>
      </c>
    </row>
    <row r="33" spans="1:15" x14ac:dyDescent="0.2">
      <c r="A33" s="3">
        <v>32</v>
      </c>
      <c r="B33" s="4" t="s">
        <v>43</v>
      </c>
      <c r="C33" s="4" t="s">
        <v>44</v>
      </c>
      <c r="D33" s="5">
        <v>0</v>
      </c>
      <c r="E33" s="5">
        <v>2896827</v>
      </c>
      <c r="F33" s="5">
        <v>2896827</v>
      </c>
      <c r="G33" s="5">
        <v>534632</v>
      </c>
      <c r="H33" s="5">
        <v>31570912</v>
      </c>
      <c r="I33" s="5">
        <v>10000</v>
      </c>
      <c r="J33" s="5">
        <f t="shared" si="0"/>
        <v>32115544</v>
      </c>
      <c r="K33" s="5">
        <f t="shared" si="1"/>
        <v>534632</v>
      </c>
      <c r="L33" s="5">
        <f t="shared" si="2"/>
        <v>34467739</v>
      </c>
      <c r="M33" s="5">
        <f t="shared" si="3"/>
        <v>35012371</v>
      </c>
      <c r="N33" s="6">
        <f t="shared" si="4"/>
        <v>1.5269802779137694E-2</v>
      </c>
      <c r="O33" s="62">
        <f t="shared" si="5"/>
        <v>9.7993664769063535</v>
      </c>
    </row>
    <row r="34" spans="1:15" x14ac:dyDescent="0.2">
      <c r="A34" s="3">
        <v>33</v>
      </c>
      <c r="B34" s="4" t="s">
        <v>59</v>
      </c>
      <c r="C34" s="4" t="s">
        <v>60</v>
      </c>
      <c r="D34" s="5">
        <v>0</v>
      </c>
      <c r="E34" s="5">
        <v>3795229</v>
      </c>
      <c r="F34" s="5">
        <v>3795229</v>
      </c>
      <c r="G34" s="5">
        <v>635065</v>
      </c>
      <c r="H34" s="5">
        <v>43165946</v>
      </c>
      <c r="I34" s="5">
        <v>258742</v>
      </c>
      <c r="J34" s="5">
        <f t="shared" ref="J34:J51" si="6">SUM(G34:I34)</f>
        <v>44059753</v>
      </c>
      <c r="K34" s="5">
        <f t="shared" ref="K34:K51" si="7">+D34+G34</f>
        <v>635065</v>
      </c>
      <c r="L34" s="5">
        <f t="shared" ref="L34:L51" si="8">+E34+H34</f>
        <v>46961175</v>
      </c>
      <c r="M34" s="5">
        <f t="shared" ref="M34:M51" si="9">+F34+J34</f>
        <v>47854982</v>
      </c>
      <c r="N34" s="6">
        <f t="shared" ref="N34:N51" si="10">(K34/M34)</f>
        <v>1.3270614123311132E-2</v>
      </c>
      <c r="O34" s="61">
        <f t="shared" si="5"/>
        <v>8.5163910136158822</v>
      </c>
    </row>
    <row r="35" spans="1:15" x14ac:dyDescent="0.2">
      <c r="A35" s="3">
        <v>34</v>
      </c>
      <c r="B35" s="4" t="s">
        <v>16</v>
      </c>
      <c r="C35" s="4" t="s">
        <v>17</v>
      </c>
      <c r="D35" s="5">
        <v>0</v>
      </c>
      <c r="E35" s="5">
        <v>2271829</v>
      </c>
      <c r="F35" s="5">
        <v>2271829</v>
      </c>
      <c r="G35" s="5">
        <v>741381</v>
      </c>
      <c r="H35" s="5">
        <v>57795920</v>
      </c>
      <c r="I35" s="5">
        <v>312575</v>
      </c>
      <c r="J35" s="5">
        <f t="shared" si="6"/>
        <v>58849876</v>
      </c>
      <c r="K35" s="5">
        <f t="shared" si="7"/>
        <v>741381</v>
      </c>
      <c r="L35" s="5">
        <f t="shared" si="8"/>
        <v>60067749</v>
      </c>
      <c r="M35" s="5">
        <f t="shared" si="9"/>
        <v>61121705</v>
      </c>
      <c r="N35" s="6">
        <f t="shared" si="10"/>
        <v>1.2129586371977025E-2</v>
      </c>
      <c r="O35" s="62">
        <f t="shared" si="5"/>
        <v>7.784138655326112</v>
      </c>
    </row>
    <row r="36" spans="1:15" x14ac:dyDescent="0.2">
      <c r="A36" s="3">
        <v>35</v>
      </c>
      <c r="B36" s="4" t="s">
        <v>91</v>
      </c>
      <c r="C36" s="4" t="s">
        <v>92</v>
      </c>
      <c r="D36" s="5">
        <v>0</v>
      </c>
      <c r="E36" s="5">
        <v>12795380</v>
      </c>
      <c r="F36" s="5">
        <v>12795380</v>
      </c>
      <c r="G36" s="5">
        <v>2084662</v>
      </c>
      <c r="H36" s="5">
        <v>170724700</v>
      </c>
      <c r="I36" s="5">
        <v>5739864</v>
      </c>
      <c r="J36" s="5">
        <f t="shared" si="6"/>
        <v>178549226</v>
      </c>
      <c r="K36" s="5">
        <f t="shared" si="7"/>
        <v>2084662</v>
      </c>
      <c r="L36" s="5">
        <f t="shared" si="8"/>
        <v>183520080</v>
      </c>
      <c r="M36" s="5">
        <f t="shared" si="9"/>
        <v>191344606</v>
      </c>
      <c r="N36" s="6">
        <f t="shared" si="10"/>
        <v>1.0894804110652589E-2</v>
      </c>
      <c r="O36" s="62">
        <f t="shared" si="5"/>
        <v>6.9917195211095908</v>
      </c>
    </row>
    <row r="37" spans="1:15" x14ac:dyDescent="0.2">
      <c r="A37" s="3">
        <v>36</v>
      </c>
      <c r="B37" s="4" t="s">
        <v>11</v>
      </c>
      <c r="C37" s="4" t="s">
        <v>12</v>
      </c>
      <c r="D37" s="5">
        <v>0</v>
      </c>
      <c r="E37" s="5">
        <v>15489019</v>
      </c>
      <c r="F37" s="5">
        <v>15489019</v>
      </c>
      <c r="G37" s="5">
        <v>1949460</v>
      </c>
      <c r="H37" s="5">
        <v>181397130</v>
      </c>
      <c r="I37" s="5">
        <v>6101017</v>
      </c>
      <c r="J37" s="5">
        <f t="shared" si="6"/>
        <v>189447607</v>
      </c>
      <c r="K37" s="5">
        <f t="shared" si="7"/>
        <v>1949460</v>
      </c>
      <c r="L37" s="5">
        <f t="shared" si="8"/>
        <v>196886149</v>
      </c>
      <c r="M37" s="5">
        <f t="shared" si="9"/>
        <v>204936626</v>
      </c>
      <c r="N37" s="6">
        <f t="shared" si="10"/>
        <v>9.5125016843011743E-3</v>
      </c>
      <c r="O37" s="61">
        <f t="shared" si="5"/>
        <v>6.1046296055645719</v>
      </c>
    </row>
    <row r="38" spans="1:15" x14ac:dyDescent="0.2">
      <c r="A38" s="3">
        <v>37</v>
      </c>
      <c r="B38" s="4" t="s">
        <v>45</v>
      </c>
      <c r="C38" s="4" t="s">
        <v>46</v>
      </c>
      <c r="D38" s="5">
        <v>0</v>
      </c>
      <c r="E38" s="5">
        <v>3808696</v>
      </c>
      <c r="F38" s="5">
        <v>3808696</v>
      </c>
      <c r="G38" s="5">
        <v>374000</v>
      </c>
      <c r="H38" s="5">
        <v>44153203</v>
      </c>
      <c r="I38" s="5">
        <v>2204425</v>
      </c>
      <c r="J38" s="5">
        <f t="shared" si="6"/>
        <v>46731628</v>
      </c>
      <c r="K38" s="5">
        <f t="shared" si="7"/>
        <v>374000</v>
      </c>
      <c r="L38" s="5">
        <f t="shared" si="8"/>
        <v>47961899</v>
      </c>
      <c r="M38" s="5">
        <f t="shared" si="9"/>
        <v>50540324</v>
      </c>
      <c r="N38" s="6">
        <f t="shared" si="10"/>
        <v>7.4000317053764834E-3</v>
      </c>
      <c r="O38" s="62">
        <f t="shared" si="5"/>
        <v>4.7489560717041241</v>
      </c>
    </row>
    <row r="39" spans="1:15" x14ac:dyDescent="0.2">
      <c r="A39" s="3">
        <v>38</v>
      </c>
      <c r="B39" s="4" t="s">
        <v>18</v>
      </c>
      <c r="C39" s="4" t="s">
        <v>19</v>
      </c>
      <c r="D39" s="5">
        <v>0</v>
      </c>
      <c r="E39" s="5">
        <v>4159333</v>
      </c>
      <c r="F39" s="5">
        <v>4159333</v>
      </c>
      <c r="G39" s="5">
        <v>1473345</v>
      </c>
      <c r="H39" s="5">
        <v>194783982</v>
      </c>
      <c r="I39" s="5">
        <v>1450125</v>
      </c>
      <c r="J39" s="5">
        <f t="shared" si="6"/>
        <v>197707452</v>
      </c>
      <c r="K39" s="5">
        <f t="shared" si="7"/>
        <v>1473345</v>
      </c>
      <c r="L39" s="5">
        <f t="shared" si="8"/>
        <v>198943315</v>
      </c>
      <c r="M39" s="5">
        <f t="shared" si="9"/>
        <v>201866785</v>
      </c>
      <c r="N39" s="6">
        <f t="shared" si="10"/>
        <v>7.2986004111572885E-3</v>
      </c>
      <c r="O39" s="68">
        <v>100</v>
      </c>
    </row>
    <row r="40" spans="1:15" x14ac:dyDescent="0.2">
      <c r="A40" s="3">
        <v>39</v>
      </c>
      <c r="B40" s="4" t="s">
        <v>89</v>
      </c>
      <c r="C40" s="4" t="s">
        <v>90</v>
      </c>
      <c r="D40" s="5">
        <v>0</v>
      </c>
      <c r="E40" s="5">
        <v>5305572</v>
      </c>
      <c r="F40" s="5">
        <v>5305572</v>
      </c>
      <c r="G40" s="5">
        <v>1821928</v>
      </c>
      <c r="H40" s="5">
        <v>241123048</v>
      </c>
      <c r="I40" s="5">
        <v>4456288</v>
      </c>
      <c r="J40" s="5">
        <f t="shared" si="6"/>
        <v>247401264</v>
      </c>
      <c r="K40" s="5">
        <f t="shared" si="7"/>
        <v>1821928</v>
      </c>
      <c r="L40" s="5">
        <f t="shared" si="8"/>
        <v>246428620</v>
      </c>
      <c r="M40" s="5">
        <f t="shared" si="9"/>
        <v>252706836</v>
      </c>
      <c r="N40" s="6">
        <f t="shared" si="10"/>
        <v>7.2096506324822963E-3</v>
      </c>
      <c r="O40" s="61">
        <f t="shared" ref="O40:O51" si="11">(N40/$N$2)*$O$2</f>
        <v>4.6267793854337782</v>
      </c>
    </row>
    <row r="41" spans="1:15" x14ac:dyDescent="0.2">
      <c r="A41" s="3">
        <v>40</v>
      </c>
      <c r="B41" s="4" t="s">
        <v>26</v>
      </c>
      <c r="C41" s="4" t="s">
        <v>27</v>
      </c>
      <c r="D41" s="5">
        <v>0</v>
      </c>
      <c r="E41" s="5">
        <v>27364331</v>
      </c>
      <c r="F41" s="5">
        <v>27364331</v>
      </c>
      <c r="G41" s="5">
        <v>571063</v>
      </c>
      <c r="H41" s="5">
        <v>102690475</v>
      </c>
      <c r="I41" s="5">
        <v>918388</v>
      </c>
      <c r="J41" s="5">
        <f t="shared" si="6"/>
        <v>104179926</v>
      </c>
      <c r="K41" s="5">
        <f t="shared" si="7"/>
        <v>571063</v>
      </c>
      <c r="L41" s="5">
        <f t="shared" si="8"/>
        <v>130054806</v>
      </c>
      <c r="M41" s="5">
        <f t="shared" si="9"/>
        <v>131544257</v>
      </c>
      <c r="N41" s="6">
        <f t="shared" si="10"/>
        <v>4.3412233496442189E-3</v>
      </c>
      <c r="O41" s="62">
        <f t="shared" si="11"/>
        <v>2.7859717100857684</v>
      </c>
    </row>
    <row r="42" spans="1:15" x14ac:dyDescent="0.2">
      <c r="A42" s="3">
        <v>41</v>
      </c>
      <c r="B42" s="4" t="s">
        <v>6</v>
      </c>
      <c r="C42" s="4" t="s">
        <v>113</v>
      </c>
      <c r="D42" s="5">
        <v>0</v>
      </c>
      <c r="E42" s="5">
        <v>17355920</v>
      </c>
      <c r="F42" s="5">
        <v>17355920</v>
      </c>
      <c r="G42" s="5">
        <v>1569970</v>
      </c>
      <c r="H42" s="5">
        <v>366870418</v>
      </c>
      <c r="I42" s="5">
        <v>5877463</v>
      </c>
      <c r="J42" s="5">
        <f t="shared" si="6"/>
        <v>374317851</v>
      </c>
      <c r="K42" s="5">
        <f t="shared" si="7"/>
        <v>1569970</v>
      </c>
      <c r="L42" s="5">
        <f t="shared" si="8"/>
        <v>384226338</v>
      </c>
      <c r="M42" s="5">
        <f t="shared" si="9"/>
        <v>391673771</v>
      </c>
      <c r="N42" s="6">
        <f t="shared" si="10"/>
        <v>4.0083613359956135E-3</v>
      </c>
      <c r="O42" s="61">
        <f t="shared" si="11"/>
        <v>2.5723581549427932</v>
      </c>
    </row>
    <row r="43" spans="1:15" x14ac:dyDescent="0.2">
      <c r="A43" s="3">
        <v>42</v>
      </c>
      <c r="B43" s="4" t="s">
        <v>7</v>
      </c>
      <c r="C43" s="4" t="s">
        <v>8</v>
      </c>
      <c r="D43" s="5">
        <v>0</v>
      </c>
      <c r="E43" s="5">
        <v>17766451</v>
      </c>
      <c r="F43" s="5">
        <v>17766451</v>
      </c>
      <c r="G43" s="5">
        <v>1037755</v>
      </c>
      <c r="H43" s="5">
        <v>296353024</v>
      </c>
      <c r="I43" s="5">
        <v>4506326</v>
      </c>
      <c r="J43" s="5">
        <f t="shared" si="6"/>
        <v>301897105</v>
      </c>
      <c r="K43" s="5">
        <f t="shared" si="7"/>
        <v>1037755</v>
      </c>
      <c r="L43" s="5">
        <f t="shared" si="8"/>
        <v>314119475</v>
      </c>
      <c r="M43" s="5">
        <f t="shared" si="9"/>
        <v>319663556</v>
      </c>
      <c r="N43" s="6">
        <f t="shared" si="10"/>
        <v>3.2463975968533617E-3</v>
      </c>
      <c r="O43" s="61">
        <f t="shared" si="11"/>
        <v>2.0833693952339756</v>
      </c>
    </row>
    <row r="44" spans="1:15" x14ac:dyDescent="0.2">
      <c r="A44" s="3">
        <v>43</v>
      </c>
      <c r="B44" s="4" t="s">
        <v>36</v>
      </c>
      <c r="C44" s="4" t="s">
        <v>37</v>
      </c>
      <c r="D44" s="5">
        <v>0</v>
      </c>
      <c r="E44" s="5">
        <v>3801746</v>
      </c>
      <c r="F44" s="5">
        <v>3801746</v>
      </c>
      <c r="G44" s="5">
        <v>151238</v>
      </c>
      <c r="H44" s="5">
        <v>69526378</v>
      </c>
      <c r="I44" s="5">
        <v>493705</v>
      </c>
      <c r="J44" s="5">
        <f t="shared" si="6"/>
        <v>70171321</v>
      </c>
      <c r="K44" s="5">
        <f t="shared" si="7"/>
        <v>151238</v>
      </c>
      <c r="L44" s="5">
        <f t="shared" si="8"/>
        <v>73328124</v>
      </c>
      <c r="M44" s="5">
        <f t="shared" si="9"/>
        <v>73973067</v>
      </c>
      <c r="N44" s="6">
        <f t="shared" si="10"/>
        <v>2.044500872189063E-3</v>
      </c>
      <c r="O44" s="62">
        <f t="shared" si="11"/>
        <v>1.3120544907304097</v>
      </c>
    </row>
    <row r="45" spans="1:15" x14ac:dyDescent="0.2">
      <c r="A45" s="3">
        <v>44</v>
      </c>
      <c r="B45" s="4" t="s">
        <v>24</v>
      </c>
      <c r="C45" s="4" t="s">
        <v>25</v>
      </c>
      <c r="D45" s="5">
        <v>0</v>
      </c>
      <c r="E45" s="5">
        <v>6748150</v>
      </c>
      <c r="F45" s="5">
        <v>6748150</v>
      </c>
      <c r="G45" s="5">
        <v>1018076</v>
      </c>
      <c r="H45" s="5">
        <v>864410455</v>
      </c>
      <c r="I45" s="5">
        <v>19140204</v>
      </c>
      <c r="J45" s="5">
        <f t="shared" si="6"/>
        <v>884568735</v>
      </c>
      <c r="K45" s="5">
        <f t="shared" si="7"/>
        <v>1018076</v>
      </c>
      <c r="L45" s="5">
        <f t="shared" si="8"/>
        <v>871158605</v>
      </c>
      <c r="M45" s="5">
        <f t="shared" si="9"/>
        <v>891316885</v>
      </c>
      <c r="N45" s="6">
        <f t="shared" si="10"/>
        <v>1.1422155432408306E-3</v>
      </c>
      <c r="O45" s="62">
        <f t="shared" si="11"/>
        <v>0.73301462145457097</v>
      </c>
    </row>
    <row r="46" spans="1:15" x14ac:dyDescent="0.2">
      <c r="A46" s="3">
        <v>45</v>
      </c>
      <c r="B46" s="4" t="s">
        <v>5</v>
      </c>
      <c r="C46" s="4" t="s">
        <v>112</v>
      </c>
      <c r="D46" s="5">
        <v>300</v>
      </c>
      <c r="E46" s="5">
        <v>324560219</v>
      </c>
      <c r="F46" s="5">
        <v>324560519</v>
      </c>
      <c r="G46" s="5">
        <v>337376</v>
      </c>
      <c r="H46" s="5">
        <v>405943553</v>
      </c>
      <c r="I46" s="5">
        <v>8381752</v>
      </c>
      <c r="J46" s="5">
        <f t="shared" si="6"/>
        <v>414662681</v>
      </c>
      <c r="K46" s="5">
        <f t="shared" si="7"/>
        <v>337676</v>
      </c>
      <c r="L46" s="5">
        <f t="shared" si="8"/>
        <v>730503772</v>
      </c>
      <c r="M46" s="5">
        <f t="shared" si="9"/>
        <v>739223200</v>
      </c>
      <c r="N46" s="6">
        <f t="shared" si="10"/>
        <v>4.567984338153889E-4</v>
      </c>
      <c r="O46" s="62">
        <f t="shared" si="11"/>
        <v>0.29314951370227399</v>
      </c>
    </row>
    <row r="47" spans="1:15" x14ac:dyDescent="0.2">
      <c r="A47" s="3">
        <v>46</v>
      </c>
      <c r="B47" s="4" t="s">
        <v>85</v>
      </c>
      <c r="C47" s="4" t="s">
        <v>86</v>
      </c>
      <c r="D47" s="5">
        <v>0</v>
      </c>
      <c r="E47" s="5">
        <v>3881375</v>
      </c>
      <c r="F47" s="5">
        <v>3881375</v>
      </c>
      <c r="G47" s="5">
        <v>7554</v>
      </c>
      <c r="H47" s="5">
        <v>42700259</v>
      </c>
      <c r="I47" s="5">
        <v>575322</v>
      </c>
      <c r="J47" s="5">
        <f t="shared" si="6"/>
        <v>43283135</v>
      </c>
      <c r="K47" s="5">
        <f t="shared" si="7"/>
        <v>7554</v>
      </c>
      <c r="L47" s="5">
        <f t="shared" si="8"/>
        <v>46581634</v>
      </c>
      <c r="M47" s="5">
        <f t="shared" si="9"/>
        <v>47164510</v>
      </c>
      <c r="N47" s="6">
        <f t="shared" si="10"/>
        <v>1.6016280037680874E-4</v>
      </c>
      <c r="O47" s="62">
        <f t="shared" si="11"/>
        <v>0.10278416817565308</v>
      </c>
    </row>
    <row r="48" spans="1:15" x14ac:dyDescent="0.2">
      <c r="A48" s="3">
        <v>47</v>
      </c>
      <c r="B48" s="4" t="s">
        <v>83</v>
      </c>
      <c r="C48" s="4" t="s">
        <v>84</v>
      </c>
      <c r="D48" s="5">
        <v>0</v>
      </c>
      <c r="E48" s="5">
        <v>5168070</v>
      </c>
      <c r="F48" s="5">
        <v>5168070</v>
      </c>
      <c r="G48" s="5">
        <v>3298</v>
      </c>
      <c r="H48" s="5">
        <v>30563529</v>
      </c>
      <c r="I48" s="5">
        <v>27812</v>
      </c>
      <c r="J48" s="5">
        <f t="shared" si="6"/>
        <v>30594639</v>
      </c>
      <c r="K48" s="5">
        <f t="shared" si="7"/>
        <v>3298</v>
      </c>
      <c r="L48" s="5">
        <f t="shared" si="8"/>
        <v>35731599</v>
      </c>
      <c r="M48" s="5">
        <f t="shared" si="9"/>
        <v>35762709</v>
      </c>
      <c r="N48" s="6">
        <f t="shared" si="10"/>
        <v>9.221896473222987E-5</v>
      </c>
      <c r="O48" s="62">
        <f t="shared" si="11"/>
        <v>5.9181342719545921E-2</v>
      </c>
    </row>
    <row r="49" spans="1:15" x14ac:dyDescent="0.2">
      <c r="A49" s="3">
        <v>48</v>
      </c>
      <c r="B49" s="4" t="s">
        <v>79</v>
      </c>
      <c r="C49" s="4" t="s">
        <v>80</v>
      </c>
      <c r="D49" s="5">
        <v>0</v>
      </c>
      <c r="E49" s="5">
        <v>2544079</v>
      </c>
      <c r="F49" s="5">
        <v>2544079</v>
      </c>
      <c r="G49" s="5">
        <v>4300</v>
      </c>
      <c r="H49" s="5">
        <v>77084160</v>
      </c>
      <c r="I49" s="5">
        <v>557232</v>
      </c>
      <c r="J49" s="5">
        <f t="shared" si="6"/>
        <v>77645692</v>
      </c>
      <c r="K49" s="5">
        <f t="shared" si="7"/>
        <v>4300</v>
      </c>
      <c r="L49" s="5">
        <f t="shared" si="8"/>
        <v>79628239</v>
      </c>
      <c r="M49" s="5">
        <f t="shared" si="9"/>
        <v>80189771</v>
      </c>
      <c r="N49" s="6">
        <f t="shared" si="10"/>
        <v>5.3622799346814443E-5</v>
      </c>
      <c r="O49" s="62">
        <f t="shared" si="11"/>
        <v>3.4412328038379764E-2</v>
      </c>
    </row>
    <row r="50" spans="1:15" x14ac:dyDescent="0.2">
      <c r="A50" s="3">
        <v>49</v>
      </c>
      <c r="B50" s="4" t="s">
        <v>28</v>
      </c>
      <c r="C50" s="4" t="s">
        <v>29</v>
      </c>
      <c r="D50" s="5">
        <v>0</v>
      </c>
      <c r="E50" s="5">
        <v>8731946</v>
      </c>
      <c r="F50" s="5">
        <v>8731946</v>
      </c>
      <c r="G50" s="5">
        <v>1285</v>
      </c>
      <c r="H50" s="5">
        <v>489041661</v>
      </c>
      <c r="I50" s="5">
        <v>14641176</v>
      </c>
      <c r="J50" s="5">
        <f t="shared" si="6"/>
        <v>503684122</v>
      </c>
      <c r="K50" s="5">
        <f t="shared" si="7"/>
        <v>1285</v>
      </c>
      <c r="L50" s="5">
        <f t="shared" si="8"/>
        <v>497773607</v>
      </c>
      <c r="M50" s="5">
        <f t="shared" si="9"/>
        <v>512416068</v>
      </c>
      <c r="N50" s="6">
        <f t="shared" si="10"/>
        <v>2.5077277631348592E-6</v>
      </c>
      <c r="O50" s="61">
        <f t="shared" si="11"/>
        <v>1.6093294543951424E-3</v>
      </c>
    </row>
    <row r="51" spans="1:15" x14ac:dyDescent="0.2">
      <c r="A51" s="3">
        <v>50</v>
      </c>
      <c r="B51" s="4" t="s">
        <v>42</v>
      </c>
      <c r="C51" s="4" t="s">
        <v>175</v>
      </c>
      <c r="D51" s="5">
        <v>0</v>
      </c>
      <c r="E51" s="5">
        <v>6647979</v>
      </c>
      <c r="F51" s="5">
        <v>6647979</v>
      </c>
      <c r="G51" s="5">
        <v>0</v>
      </c>
      <c r="H51" s="5">
        <v>43684878</v>
      </c>
      <c r="I51" s="5">
        <v>459596</v>
      </c>
      <c r="J51" s="5">
        <f t="shared" si="6"/>
        <v>44144474</v>
      </c>
      <c r="K51" s="5">
        <f t="shared" si="7"/>
        <v>0</v>
      </c>
      <c r="L51" s="5">
        <f t="shared" si="8"/>
        <v>50332857</v>
      </c>
      <c r="M51" s="5">
        <f t="shared" si="9"/>
        <v>50792453</v>
      </c>
      <c r="N51" s="6">
        <f t="shared" si="10"/>
        <v>0</v>
      </c>
      <c r="O51" s="62">
        <f t="shared" si="11"/>
        <v>0</v>
      </c>
    </row>
    <row r="52" spans="1:15" x14ac:dyDescent="0.2">
      <c r="A52" s="13"/>
      <c r="B52" s="13"/>
      <c r="C52" s="10" t="s">
        <v>233</v>
      </c>
      <c r="D52" s="11">
        <v>0</v>
      </c>
      <c r="E52" s="11">
        <v>2957150</v>
      </c>
      <c r="F52" s="11">
        <v>2957150</v>
      </c>
      <c r="G52" s="11">
        <f t="shared" ref="G52:M52" si="12">SUM(G2:G51)</f>
        <v>155525964</v>
      </c>
      <c r="H52" s="11">
        <f t="shared" si="12"/>
        <v>6649091228</v>
      </c>
      <c r="I52" s="11">
        <f t="shared" si="12"/>
        <v>118344540</v>
      </c>
      <c r="J52" s="11">
        <f t="shared" si="12"/>
        <v>6922961732</v>
      </c>
      <c r="K52" s="11">
        <f t="shared" si="12"/>
        <v>155526564</v>
      </c>
      <c r="L52" s="11">
        <f t="shared" si="12"/>
        <v>7295254516</v>
      </c>
      <c r="M52" s="11">
        <f t="shared" si="12"/>
        <v>7569125620</v>
      </c>
      <c r="N52" s="11"/>
      <c r="O52" s="13"/>
    </row>
    <row r="58" spans="1:15" x14ac:dyDescent="0.2">
      <c r="E58" s="43"/>
      <c r="F58" s="44"/>
      <c r="G58" s="45"/>
      <c r="M58" s="12"/>
      <c r="N58" s="12"/>
    </row>
    <row r="59" spans="1:15" x14ac:dyDescent="0.2">
      <c r="E59" s="19"/>
      <c r="F59" s="20"/>
      <c r="G59" s="21"/>
      <c r="M59" s="12"/>
      <c r="N59" s="12"/>
    </row>
    <row r="60" spans="1:15" x14ac:dyDescent="0.2">
      <c r="E60" s="13"/>
      <c r="F60" s="4"/>
      <c r="G60" s="21"/>
    </row>
    <row r="61" spans="1:15" x14ac:dyDescent="0.2">
      <c r="E61" s="13"/>
      <c r="F61" s="4"/>
      <c r="G61" s="21"/>
      <c r="M61" s="12"/>
    </row>
    <row r="62" spans="1:15" x14ac:dyDescent="0.2">
      <c r="E62" s="13"/>
      <c r="F62" s="13"/>
      <c r="G62" s="22"/>
    </row>
    <row r="75" spans="5:7" x14ac:dyDescent="0.2">
      <c r="E75" s="46"/>
      <c r="F75" s="46"/>
    </row>
    <row r="76" spans="5:7" x14ac:dyDescent="0.2">
      <c r="E76" s="13"/>
      <c r="F76" s="4"/>
    </row>
    <row r="77" spans="5:7" x14ac:dyDescent="0.2">
      <c r="E77" s="13"/>
      <c r="F77" s="4"/>
    </row>
    <row r="79" spans="5:7" x14ac:dyDescent="0.2">
      <c r="E79" s="47"/>
      <c r="F79" s="48"/>
      <c r="G79" s="48"/>
    </row>
    <row r="80" spans="5:7" x14ac:dyDescent="0.2">
      <c r="E80" s="13"/>
      <c r="F80" s="4"/>
      <c r="G80" s="21"/>
    </row>
    <row r="81" spans="5:7" x14ac:dyDescent="0.2">
      <c r="E81" s="13"/>
      <c r="F81" s="4"/>
      <c r="G81" s="21"/>
    </row>
    <row r="82" spans="5:7" x14ac:dyDescent="0.2">
      <c r="E82" s="13"/>
      <c r="F82" s="4"/>
      <c r="G82" s="21"/>
    </row>
    <row r="83" spans="5:7" x14ac:dyDescent="0.2">
      <c r="E83" s="13"/>
      <c r="F83" s="13"/>
      <c r="G83" s="22"/>
    </row>
  </sheetData>
  <sortState xmlns:xlrd2="http://schemas.microsoft.com/office/spreadsheetml/2017/richdata2" ref="B2:N51">
    <sortCondition descending="1" ref="N2:N51"/>
  </sortState>
  <mergeCells count="3">
    <mergeCell ref="E58:G58"/>
    <mergeCell ref="E75:F75"/>
    <mergeCell ref="E79:G79"/>
  </mergeCells>
  <pageMargins left="0.7" right="0.7" top="0.75" bottom="0.75" header="0.3" footer="0.3"/>
  <pageSetup paperSize="9" orientation="portrait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6640C-BE50-47DC-AF82-91F84A4B1AB1}">
  <sheetPr codeName="Sheet5">
    <tabColor rgb="FF002060"/>
  </sheetPr>
  <dimension ref="A1:O84"/>
  <sheetViews>
    <sheetView zoomScale="80" zoomScaleNormal="8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3" max="3" width="29" bestFit="1" customWidth="1"/>
    <col min="4" max="4" width="14" customWidth="1"/>
    <col min="5" max="5" width="15.6640625" customWidth="1"/>
    <col min="6" max="13" width="14.5" customWidth="1"/>
    <col min="14" max="14" width="16" customWidth="1"/>
  </cols>
  <sheetData>
    <row r="1" spans="1:15" ht="32" x14ac:dyDescent="0.2">
      <c r="A1" s="1" t="s">
        <v>97</v>
      </c>
      <c r="B1" s="1" t="s">
        <v>1</v>
      </c>
      <c r="C1" s="1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2" t="s">
        <v>103</v>
      </c>
      <c r="I1" s="2" t="s">
        <v>104</v>
      </c>
      <c r="J1" s="2" t="s">
        <v>105</v>
      </c>
      <c r="K1" s="2" t="s">
        <v>106</v>
      </c>
      <c r="L1" s="2" t="s">
        <v>107</v>
      </c>
      <c r="M1" s="2" t="s">
        <v>108</v>
      </c>
      <c r="N1" s="2" t="s">
        <v>232</v>
      </c>
      <c r="O1" s="2" t="s">
        <v>234</v>
      </c>
    </row>
    <row r="2" spans="1:15" x14ac:dyDescent="0.2">
      <c r="A2" s="3">
        <v>21</v>
      </c>
      <c r="B2" s="4" t="s">
        <v>42</v>
      </c>
      <c r="C2" s="32" t="s">
        <v>369</v>
      </c>
      <c r="D2" s="5">
        <v>0</v>
      </c>
      <c r="E2" s="24">
        <v>2208021</v>
      </c>
      <c r="F2" s="24">
        <v>2208021</v>
      </c>
      <c r="G2" s="5">
        <v>0</v>
      </c>
      <c r="H2" s="5">
        <v>69692312</v>
      </c>
      <c r="I2" s="5">
        <v>268453</v>
      </c>
      <c r="J2" s="5">
        <f t="shared" ref="J2:J33" si="0">SUM(G2:I2)</f>
        <v>69960765</v>
      </c>
      <c r="K2" s="5">
        <f t="shared" ref="K2:K33" si="1">+D2+G2</f>
        <v>0</v>
      </c>
      <c r="L2" s="5">
        <f t="shared" ref="L2:L33" si="2">+E2+H2</f>
        <v>71900333</v>
      </c>
      <c r="M2" s="5">
        <f t="shared" ref="M2:M33" si="3">+F2+J2</f>
        <v>72168786</v>
      </c>
      <c r="N2" s="6">
        <f t="shared" ref="N2:N33" si="4">(L2/M2)</f>
        <v>0.99628020623763858</v>
      </c>
      <c r="O2" s="61">
        <v>100</v>
      </c>
    </row>
    <row r="3" spans="1:15" x14ac:dyDescent="0.2">
      <c r="A3" s="3">
        <v>18</v>
      </c>
      <c r="B3" s="4" t="s">
        <v>36</v>
      </c>
      <c r="C3" s="32" t="s">
        <v>366</v>
      </c>
      <c r="D3" s="5">
        <v>0</v>
      </c>
      <c r="E3" s="24">
        <v>3414407</v>
      </c>
      <c r="F3" s="24">
        <v>3414407</v>
      </c>
      <c r="G3" s="5">
        <v>293610</v>
      </c>
      <c r="H3" s="5">
        <v>116241003</v>
      </c>
      <c r="I3" s="5">
        <v>761218</v>
      </c>
      <c r="J3" s="5">
        <f t="shared" si="0"/>
        <v>117295831</v>
      </c>
      <c r="K3" s="5">
        <f t="shared" si="1"/>
        <v>293610</v>
      </c>
      <c r="L3" s="5">
        <f t="shared" si="2"/>
        <v>119655410</v>
      </c>
      <c r="M3" s="5">
        <f t="shared" si="3"/>
        <v>120710238</v>
      </c>
      <c r="N3" s="6">
        <f t="shared" si="4"/>
        <v>0.99126148686741877</v>
      </c>
      <c r="O3" s="62">
        <f t="shared" ref="O3:O34" si="5">(N3/$N$2)*$O$2</f>
        <v>99.496254232614689</v>
      </c>
    </row>
    <row r="4" spans="1:15" x14ac:dyDescent="0.2">
      <c r="A4" s="3">
        <v>13</v>
      </c>
      <c r="B4" s="4" t="s">
        <v>26</v>
      </c>
      <c r="C4" s="32" t="s">
        <v>361</v>
      </c>
      <c r="D4" s="5">
        <v>0</v>
      </c>
      <c r="E4" s="24">
        <v>6460870</v>
      </c>
      <c r="F4" s="24">
        <v>6460870</v>
      </c>
      <c r="G4" s="5">
        <v>691340</v>
      </c>
      <c r="H4" s="5">
        <v>130894635</v>
      </c>
      <c r="I4" s="5">
        <v>571812</v>
      </c>
      <c r="J4" s="5">
        <f t="shared" si="0"/>
        <v>132157787</v>
      </c>
      <c r="K4" s="5">
        <f t="shared" si="1"/>
        <v>691340</v>
      </c>
      <c r="L4" s="5">
        <f t="shared" si="2"/>
        <v>137355505</v>
      </c>
      <c r="M4" s="5">
        <f t="shared" si="3"/>
        <v>138618657</v>
      </c>
      <c r="N4" s="6">
        <f t="shared" si="4"/>
        <v>0.99088757583331655</v>
      </c>
      <c r="O4" s="62">
        <f t="shared" si="5"/>
        <v>99.458723522703835</v>
      </c>
    </row>
    <row r="5" spans="1:15" x14ac:dyDescent="0.2">
      <c r="A5" s="3">
        <v>14</v>
      </c>
      <c r="B5" s="4" t="s">
        <v>28</v>
      </c>
      <c r="C5" s="32" t="s">
        <v>362</v>
      </c>
      <c r="D5" s="5">
        <v>0</v>
      </c>
      <c r="E5" s="24">
        <v>12465897</v>
      </c>
      <c r="F5" s="24">
        <v>12465897</v>
      </c>
      <c r="G5" s="5">
        <v>600</v>
      </c>
      <c r="H5" s="5">
        <v>579961436</v>
      </c>
      <c r="I5" s="5">
        <v>5608693</v>
      </c>
      <c r="J5" s="5">
        <f t="shared" si="0"/>
        <v>585570729</v>
      </c>
      <c r="K5" s="5">
        <f t="shared" si="1"/>
        <v>600</v>
      </c>
      <c r="L5" s="5">
        <f t="shared" si="2"/>
        <v>592427333</v>
      </c>
      <c r="M5" s="5">
        <f t="shared" si="3"/>
        <v>598036626</v>
      </c>
      <c r="N5" s="6">
        <f t="shared" si="4"/>
        <v>0.99062048584295237</v>
      </c>
      <c r="O5" s="62">
        <f t="shared" si="5"/>
        <v>99.431914800750718</v>
      </c>
    </row>
    <row r="6" spans="1:15" x14ac:dyDescent="0.2">
      <c r="A6" s="3">
        <v>8</v>
      </c>
      <c r="B6" s="4" t="s">
        <v>16</v>
      </c>
      <c r="C6" s="32" t="s">
        <v>356</v>
      </c>
      <c r="D6" s="5">
        <v>0</v>
      </c>
      <c r="E6" s="24">
        <v>3191126</v>
      </c>
      <c r="F6" s="24">
        <v>3191126</v>
      </c>
      <c r="G6" s="5">
        <v>499174</v>
      </c>
      <c r="H6" s="5">
        <v>67457269</v>
      </c>
      <c r="I6" s="5">
        <v>337718</v>
      </c>
      <c r="J6" s="5">
        <f t="shared" si="0"/>
        <v>68294161</v>
      </c>
      <c r="K6" s="5">
        <f t="shared" si="1"/>
        <v>499174</v>
      </c>
      <c r="L6" s="5">
        <f t="shared" si="2"/>
        <v>70648395</v>
      </c>
      <c r="M6" s="5">
        <f t="shared" si="3"/>
        <v>71485287</v>
      </c>
      <c r="N6" s="6">
        <f t="shared" si="4"/>
        <v>0.98829280772139871</v>
      </c>
      <c r="O6" s="62">
        <f t="shared" si="5"/>
        <v>99.198277907537317</v>
      </c>
    </row>
    <row r="7" spans="1:15" x14ac:dyDescent="0.2">
      <c r="A7" s="3">
        <v>16</v>
      </c>
      <c r="B7" s="4" t="s">
        <v>32</v>
      </c>
      <c r="C7" s="32" t="s">
        <v>364</v>
      </c>
      <c r="D7" s="5">
        <v>0</v>
      </c>
      <c r="E7" s="24">
        <v>4386955</v>
      </c>
      <c r="F7" s="24">
        <v>4386955</v>
      </c>
      <c r="G7" s="5">
        <v>1662734</v>
      </c>
      <c r="H7" s="5">
        <v>114873625</v>
      </c>
      <c r="I7" s="5">
        <v>17000</v>
      </c>
      <c r="J7" s="5">
        <f t="shared" si="0"/>
        <v>116553359</v>
      </c>
      <c r="K7" s="5">
        <f t="shared" si="1"/>
        <v>1662734</v>
      </c>
      <c r="L7" s="5">
        <f t="shared" si="2"/>
        <v>119260580</v>
      </c>
      <c r="M7" s="5">
        <f t="shared" si="3"/>
        <v>120940314</v>
      </c>
      <c r="N7" s="6">
        <f t="shared" si="4"/>
        <v>0.98611104978609532</v>
      </c>
      <c r="O7" s="62">
        <f t="shared" si="5"/>
        <v>98.979287514910482</v>
      </c>
    </row>
    <row r="8" spans="1:15" x14ac:dyDescent="0.2">
      <c r="A8" s="3">
        <v>1</v>
      </c>
      <c r="B8" s="4" t="s">
        <v>5</v>
      </c>
      <c r="C8" s="32" t="s">
        <v>349</v>
      </c>
      <c r="D8" s="5">
        <v>0</v>
      </c>
      <c r="E8" s="24">
        <v>16277914</v>
      </c>
      <c r="F8" s="24">
        <v>16277914</v>
      </c>
      <c r="G8" s="5">
        <v>164117</v>
      </c>
      <c r="H8" s="5">
        <v>417878495</v>
      </c>
      <c r="I8" s="5">
        <v>6959132</v>
      </c>
      <c r="J8" s="5">
        <f t="shared" si="0"/>
        <v>425001744</v>
      </c>
      <c r="K8" s="5">
        <f t="shared" si="1"/>
        <v>164117</v>
      </c>
      <c r="L8" s="5">
        <f t="shared" si="2"/>
        <v>434156409</v>
      </c>
      <c r="M8" s="5">
        <f t="shared" si="3"/>
        <v>441279658</v>
      </c>
      <c r="N8" s="6">
        <f t="shared" si="4"/>
        <v>0.98385774446915475</v>
      </c>
      <c r="O8" s="62">
        <f t="shared" si="5"/>
        <v>98.753115670600735</v>
      </c>
    </row>
    <row r="9" spans="1:15" x14ac:dyDescent="0.2">
      <c r="A9" s="3">
        <v>2</v>
      </c>
      <c r="B9" s="4" t="s">
        <v>6</v>
      </c>
      <c r="C9" s="32" t="s">
        <v>350</v>
      </c>
      <c r="D9" s="5">
        <v>0</v>
      </c>
      <c r="E9" s="24">
        <v>13791391</v>
      </c>
      <c r="F9" s="24">
        <v>13791391</v>
      </c>
      <c r="G9" s="5">
        <v>916682</v>
      </c>
      <c r="H9" s="5">
        <v>370871611</v>
      </c>
      <c r="I9" s="5">
        <v>5470198</v>
      </c>
      <c r="J9" s="5">
        <f t="shared" si="0"/>
        <v>377258491</v>
      </c>
      <c r="K9" s="5">
        <f t="shared" si="1"/>
        <v>916682</v>
      </c>
      <c r="L9" s="5">
        <f t="shared" si="2"/>
        <v>384663002</v>
      </c>
      <c r="M9" s="5">
        <f t="shared" si="3"/>
        <v>391049882</v>
      </c>
      <c r="N9" s="6">
        <f t="shared" si="4"/>
        <v>0.98366735218705426</v>
      </c>
      <c r="O9" s="62">
        <f t="shared" si="5"/>
        <v>98.734005355961486</v>
      </c>
    </row>
    <row r="10" spans="1:15" x14ac:dyDescent="0.2">
      <c r="A10" s="3">
        <v>22</v>
      </c>
      <c r="B10" s="4" t="s">
        <v>43</v>
      </c>
      <c r="C10" s="32" t="s">
        <v>370</v>
      </c>
      <c r="D10" s="5">
        <v>0</v>
      </c>
      <c r="E10" s="24">
        <v>3126779</v>
      </c>
      <c r="F10" s="24">
        <v>3126779</v>
      </c>
      <c r="G10" s="5">
        <v>923840</v>
      </c>
      <c r="H10" s="5">
        <v>48550410</v>
      </c>
      <c r="I10" s="5">
        <v>4000</v>
      </c>
      <c r="J10" s="5">
        <f t="shared" si="0"/>
        <v>49478250</v>
      </c>
      <c r="K10" s="5">
        <f t="shared" si="1"/>
        <v>923840</v>
      </c>
      <c r="L10" s="5">
        <f t="shared" si="2"/>
        <v>51677189</v>
      </c>
      <c r="M10" s="5">
        <f t="shared" si="3"/>
        <v>52605029</v>
      </c>
      <c r="N10" s="6">
        <f t="shared" si="4"/>
        <v>0.98236214260047272</v>
      </c>
      <c r="O10" s="62">
        <f t="shared" si="5"/>
        <v>98.60299707351146</v>
      </c>
    </row>
    <row r="11" spans="1:15" x14ac:dyDescent="0.2">
      <c r="A11" s="3">
        <v>12</v>
      </c>
      <c r="B11" s="4" t="s">
        <v>24</v>
      </c>
      <c r="C11" s="32" t="s">
        <v>360</v>
      </c>
      <c r="D11" s="5">
        <v>0</v>
      </c>
      <c r="E11" s="24">
        <v>23030923</v>
      </c>
      <c r="F11" s="24">
        <v>23030923</v>
      </c>
      <c r="G11" s="5">
        <v>42500</v>
      </c>
      <c r="H11" s="5">
        <v>921953846</v>
      </c>
      <c r="I11" s="5">
        <v>18451551</v>
      </c>
      <c r="J11" s="5">
        <f t="shared" si="0"/>
        <v>940447897</v>
      </c>
      <c r="K11" s="5">
        <f t="shared" si="1"/>
        <v>42500</v>
      </c>
      <c r="L11" s="5">
        <f t="shared" si="2"/>
        <v>944984769</v>
      </c>
      <c r="M11" s="5">
        <f t="shared" si="3"/>
        <v>963478820</v>
      </c>
      <c r="N11" s="6">
        <f t="shared" si="4"/>
        <v>0.98080492210508585</v>
      </c>
      <c r="O11" s="62">
        <f t="shared" si="5"/>
        <v>98.446693607314188</v>
      </c>
    </row>
    <row r="12" spans="1:15" x14ac:dyDescent="0.2">
      <c r="A12" s="3">
        <v>23</v>
      </c>
      <c r="B12" s="4" t="s">
        <v>45</v>
      </c>
      <c r="C12" s="32" t="s">
        <v>371</v>
      </c>
      <c r="D12" s="5">
        <v>0</v>
      </c>
      <c r="E12" s="24">
        <v>2720201</v>
      </c>
      <c r="F12" s="24">
        <v>2720201</v>
      </c>
      <c r="G12" s="5">
        <v>0</v>
      </c>
      <c r="H12" s="5">
        <v>62934786</v>
      </c>
      <c r="I12" s="5">
        <v>1361361</v>
      </c>
      <c r="J12" s="5">
        <f t="shared" si="0"/>
        <v>64296147</v>
      </c>
      <c r="K12" s="5">
        <f t="shared" si="1"/>
        <v>0</v>
      </c>
      <c r="L12" s="5">
        <f t="shared" si="2"/>
        <v>65654987</v>
      </c>
      <c r="M12" s="5">
        <f t="shared" si="3"/>
        <v>67016348</v>
      </c>
      <c r="N12" s="6">
        <f t="shared" si="4"/>
        <v>0.97968613568736984</v>
      </c>
      <c r="O12" s="62">
        <f t="shared" si="5"/>
        <v>98.334397246239121</v>
      </c>
    </row>
    <row r="13" spans="1:15" x14ac:dyDescent="0.2">
      <c r="A13" s="3">
        <v>9</v>
      </c>
      <c r="B13" s="4" t="s">
        <v>18</v>
      </c>
      <c r="C13" s="32" t="s">
        <v>357</v>
      </c>
      <c r="D13" s="5">
        <v>0</v>
      </c>
      <c r="E13" s="24">
        <v>10241151</v>
      </c>
      <c r="F13" s="24">
        <v>10241151</v>
      </c>
      <c r="G13" s="5">
        <v>4431680</v>
      </c>
      <c r="H13" s="5">
        <v>231565476</v>
      </c>
      <c r="I13" s="5">
        <v>1109918</v>
      </c>
      <c r="J13" s="5">
        <f t="shared" si="0"/>
        <v>237107074</v>
      </c>
      <c r="K13" s="5">
        <f t="shared" si="1"/>
        <v>4431680</v>
      </c>
      <c r="L13" s="5">
        <f t="shared" si="2"/>
        <v>241806627</v>
      </c>
      <c r="M13" s="5">
        <f t="shared" si="3"/>
        <v>247348225</v>
      </c>
      <c r="N13" s="6">
        <f t="shared" si="4"/>
        <v>0.97759596617279143</v>
      </c>
      <c r="O13" s="62">
        <f t="shared" si="5"/>
        <v>98.124599891891208</v>
      </c>
    </row>
    <row r="14" spans="1:15" x14ac:dyDescent="0.2">
      <c r="A14" s="3">
        <v>17</v>
      </c>
      <c r="B14" s="4" t="s">
        <v>34</v>
      </c>
      <c r="C14" s="32" t="s">
        <v>365</v>
      </c>
      <c r="D14" s="5">
        <v>0</v>
      </c>
      <c r="E14" s="24">
        <v>3379223</v>
      </c>
      <c r="F14" s="24">
        <v>3379223</v>
      </c>
      <c r="G14" s="5">
        <v>1501421</v>
      </c>
      <c r="H14" s="5">
        <v>74122509</v>
      </c>
      <c r="I14" s="5">
        <v>379546</v>
      </c>
      <c r="J14" s="5">
        <f t="shared" si="0"/>
        <v>76003476</v>
      </c>
      <c r="K14" s="5">
        <f t="shared" si="1"/>
        <v>1501421</v>
      </c>
      <c r="L14" s="5">
        <f t="shared" si="2"/>
        <v>77501732</v>
      </c>
      <c r="M14" s="5">
        <f t="shared" si="3"/>
        <v>79382699</v>
      </c>
      <c r="N14" s="6">
        <f t="shared" si="4"/>
        <v>0.97630507624841534</v>
      </c>
      <c r="O14" s="62">
        <f t="shared" si="5"/>
        <v>97.995028922168643</v>
      </c>
    </row>
    <row r="15" spans="1:15" x14ac:dyDescent="0.2">
      <c r="A15" s="3">
        <v>10</v>
      </c>
      <c r="B15" s="4" t="s">
        <v>20</v>
      </c>
      <c r="C15" s="32" t="s">
        <v>358</v>
      </c>
      <c r="D15" s="5">
        <v>0</v>
      </c>
      <c r="E15" s="24">
        <v>5708134</v>
      </c>
      <c r="F15" s="24">
        <v>5708134</v>
      </c>
      <c r="G15" s="5">
        <v>3883437</v>
      </c>
      <c r="H15" s="5">
        <v>142957445</v>
      </c>
      <c r="I15" s="5">
        <v>856509</v>
      </c>
      <c r="J15" s="5">
        <f t="shared" si="0"/>
        <v>147697391</v>
      </c>
      <c r="K15" s="5">
        <f t="shared" si="1"/>
        <v>3883437</v>
      </c>
      <c r="L15" s="5">
        <f t="shared" si="2"/>
        <v>148665579</v>
      </c>
      <c r="M15" s="5">
        <f t="shared" si="3"/>
        <v>153405525</v>
      </c>
      <c r="N15" s="6">
        <f t="shared" si="4"/>
        <v>0.9691018560120308</v>
      </c>
      <c r="O15" s="62">
        <f t="shared" si="5"/>
        <v>97.272017444947096</v>
      </c>
    </row>
    <row r="16" spans="1:15" x14ac:dyDescent="0.2">
      <c r="A16" s="3">
        <v>19</v>
      </c>
      <c r="B16" s="4" t="s">
        <v>38</v>
      </c>
      <c r="C16" s="32" t="s">
        <v>367</v>
      </c>
      <c r="D16" s="5">
        <v>0</v>
      </c>
      <c r="E16" s="24">
        <v>6723355</v>
      </c>
      <c r="F16" s="24">
        <v>6723355</v>
      </c>
      <c r="G16" s="5">
        <v>3158036</v>
      </c>
      <c r="H16" s="5">
        <v>120515674</v>
      </c>
      <c r="I16" s="5">
        <v>1459448</v>
      </c>
      <c r="J16" s="5">
        <f t="shared" si="0"/>
        <v>125133158</v>
      </c>
      <c r="K16" s="5">
        <f t="shared" si="1"/>
        <v>3158036</v>
      </c>
      <c r="L16" s="5">
        <f t="shared" si="2"/>
        <v>127239029</v>
      </c>
      <c r="M16" s="5">
        <f t="shared" si="3"/>
        <v>131856513</v>
      </c>
      <c r="N16" s="6">
        <f t="shared" si="4"/>
        <v>0.96498099415081606</v>
      </c>
      <c r="O16" s="62">
        <f t="shared" si="5"/>
        <v>96.858392659930374</v>
      </c>
    </row>
    <row r="17" spans="1:15" x14ac:dyDescent="0.2">
      <c r="A17" s="3">
        <v>11</v>
      </c>
      <c r="B17" s="4" t="s">
        <v>22</v>
      </c>
      <c r="C17" s="32" t="s">
        <v>359</v>
      </c>
      <c r="D17" s="5">
        <v>0</v>
      </c>
      <c r="E17" s="24">
        <v>5252082</v>
      </c>
      <c r="F17" s="24">
        <v>5252082</v>
      </c>
      <c r="G17" s="5">
        <v>2630543</v>
      </c>
      <c r="H17" s="5">
        <v>114227383</v>
      </c>
      <c r="I17" s="5">
        <v>1950569</v>
      </c>
      <c r="J17" s="5">
        <f t="shared" si="0"/>
        <v>118808495</v>
      </c>
      <c r="K17" s="5">
        <f t="shared" si="1"/>
        <v>2630543</v>
      </c>
      <c r="L17" s="5">
        <f t="shared" si="2"/>
        <v>119479465</v>
      </c>
      <c r="M17" s="5">
        <f t="shared" si="3"/>
        <v>124060577</v>
      </c>
      <c r="N17" s="6">
        <f t="shared" si="4"/>
        <v>0.96307358783282138</v>
      </c>
      <c r="O17" s="62">
        <f t="shared" si="5"/>
        <v>96.66693986321188</v>
      </c>
    </row>
    <row r="18" spans="1:15" x14ac:dyDescent="0.2">
      <c r="A18" s="3">
        <v>27</v>
      </c>
      <c r="B18" s="4" t="s">
        <v>53</v>
      </c>
      <c r="C18" s="32" t="s">
        <v>375</v>
      </c>
      <c r="D18" s="5">
        <v>0</v>
      </c>
      <c r="E18" s="24">
        <v>4748326</v>
      </c>
      <c r="F18" s="24">
        <v>4748326</v>
      </c>
      <c r="G18" s="5">
        <v>2182882</v>
      </c>
      <c r="H18" s="5">
        <v>71671748</v>
      </c>
      <c r="I18" s="5">
        <v>859392</v>
      </c>
      <c r="J18" s="5">
        <f t="shared" si="0"/>
        <v>74714022</v>
      </c>
      <c r="K18" s="5">
        <f t="shared" si="1"/>
        <v>2182882</v>
      </c>
      <c r="L18" s="5">
        <f t="shared" si="2"/>
        <v>76420074</v>
      </c>
      <c r="M18" s="5">
        <f t="shared" si="3"/>
        <v>79462348</v>
      </c>
      <c r="N18" s="6">
        <f t="shared" si="4"/>
        <v>0.96171427000873422</v>
      </c>
      <c r="O18" s="62">
        <f t="shared" si="5"/>
        <v>96.530500554714465</v>
      </c>
    </row>
    <row r="19" spans="1:15" x14ac:dyDescent="0.2">
      <c r="A19" s="3">
        <v>26</v>
      </c>
      <c r="B19" s="4" t="s">
        <v>51</v>
      </c>
      <c r="C19" s="32" t="s">
        <v>374</v>
      </c>
      <c r="D19" s="5">
        <v>0</v>
      </c>
      <c r="E19" s="24">
        <v>5364841</v>
      </c>
      <c r="F19" s="24">
        <v>5364841</v>
      </c>
      <c r="G19" s="5">
        <v>6520999</v>
      </c>
      <c r="H19" s="5">
        <v>224492124</v>
      </c>
      <c r="I19" s="5">
        <v>2637169</v>
      </c>
      <c r="J19" s="5">
        <f t="shared" si="0"/>
        <v>233650292</v>
      </c>
      <c r="K19" s="5">
        <f t="shared" si="1"/>
        <v>6520999</v>
      </c>
      <c r="L19" s="5">
        <f t="shared" si="2"/>
        <v>229856965</v>
      </c>
      <c r="M19" s="5">
        <f t="shared" si="3"/>
        <v>239015133</v>
      </c>
      <c r="N19" s="6">
        <f t="shared" si="4"/>
        <v>0.96168373154849573</v>
      </c>
      <c r="O19" s="62">
        <f t="shared" si="5"/>
        <v>96.527435306599813</v>
      </c>
    </row>
    <row r="20" spans="1:15" x14ac:dyDescent="0.2">
      <c r="A20" s="3">
        <v>5</v>
      </c>
      <c r="B20" s="4" t="s">
        <v>11</v>
      </c>
      <c r="C20" s="32" t="s">
        <v>353</v>
      </c>
      <c r="D20" s="5">
        <v>0</v>
      </c>
      <c r="E20" s="24">
        <v>10298344</v>
      </c>
      <c r="F20" s="24">
        <v>10298344</v>
      </c>
      <c r="G20" s="5">
        <v>2308068</v>
      </c>
      <c r="H20" s="5">
        <v>198648383</v>
      </c>
      <c r="I20" s="5">
        <v>6054251</v>
      </c>
      <c r="J20" s="5">
        <f t="shared" si="0"/>
        <v>207010702</v>
      </c>
      <c r="K20" s="5">
        <f t="shared" si="1"/>
        <v>2308068</v>
      </c>
      <c r="L20" s="5">
        <f t="shared" si="2"/>
        <v>208946727</v>
      </c>
      <c r="M20" s="5">
        <f t="shared" si="3"/>
        <v>217309046</v>
      </c>
      <c r="N20" s="6">
        <f t="shared" si="4"/>
        <v>0.96151877174961231</v>
      </c>
      <c r="O20" s="62">
        <f t="shared" si="5"/>
        <v>96.51087773596349</v>
      </c>
    </row>
    <row r="21" spans="1:15" x14ac:dyDescent="0.2">
      <c r="A21" s="3">
        <v>15</v>
      </c>
      <c r="B21" s="4" t="s">
        <v>30</v>
      </c>
      <c r="C21" s="32" t="s">
        <v>363</v>
      </c>
      <c r="D21" s="5">
        <v>0</v>
      </c>
      <c r="E21" s="24">
        <v>9356691</v>
      </c>
      <c r="F21" s="24">
        <v>9356691</v>
      </c>
      <c r="G21" s="5">
        <v>7262800</v>
      </c>
      <c r="H21" s="5">
        <v>279380339</v>
      </c>
      <c r="I21" s="5">
        <v>4338355</v>
      </c>
      <c r="J21" s="5">
        <f t="shared" si="0"/>
        <v>290981494</v>
      </c>
      <c r="K21" s="5">
        <f t="shared" si="1"/>
        <v>7262800</v>
      </c>
      <c r="L21" s="5">
        <f t="shared" si="2"/>
        <v>288737030</v>
      </c>
      <c r="M21" s="5">
        <f t="shared" si="3"/>
        <v>300338185</v>
      </c>
      <c r="N21" s="6">
        <f t="shared" si="4"/>
        <v>0.96137302687635273</v>
      </c>
      <c r="O21" s="62">
        <f t="shared" si="5"/>
        <v>96.496248832132309</v>
      </c>
    </row>
    <row r="22" spans="1:15" x14ac:dyDescent="0.2">
      <c r="A22" s="3">
        <v>24</v>
      </c>
      <c r="B22" s="4" t="s">
        <v>47</v>
      </c>
      <c r="C22" s="32" t="s">
        <v>372</v>
      </c>
      <c r="D22" s="5">
        <v>0</v>
      </c>
      <c r="E22" s="24">
        <v>4412557</v>
      </c>
      <c r="F22" s="24">
        <v>4412557</v>
      </c>
      <c r="G22" s="5">
        <v>2936604</v>
      </c>
      <c r="H22" s="5">
        <v>91170909</v>
      </c>
      <c r="I22" s="5">
        <v>912758</v>
      </c>
      <c r="J22" s="5">
        <f t="shared" si="0"/>
        <v>95020271</v>
      </c>
      <c r="K22" s="5">
        <f t="shared" si="1"/>
        <v>2936604</v>
      </c>
      <c r="L22" s="5">
        <f t="shared" si="2"/>
        <v>95583466</v>
      </c>
      <c r="M22" s="5">
        <f t="shared" si="3"/>
        <v>99432828</v>
      </c>
      <c r="N22" s="6">
        <f t="shared" si="4"/>
        <v>0.96128680962387991</v>
      </c>
      <c r="O22" s="62">
        <f t="shared" si="5"/>
        <v>96.487594916102154</v>
      </c>
    </row>
    <row r="23" spans="1:15" x14ac:dyDescent="0.2">
      <c r="A23" s="3">
        <v>28</v>
      </c>
      <c r="B23" s="4" t="s">
        <v>55</v>
      </c>
      <c r="C23" s="32" t="s">
        <v>376</v>
      </c>
      <c r="D23" s="5">
        <v>0</v>
      </c>
      <c r="E23" s="24">
        <v>3705131</v>
      </c>
      <c r="F23" s="24">
        <v>3705131</v>
      </c>
      <c r="G23" s="5">
        <v>1949460</v>
      </c>
      <c r="H23" s="5">
        <v>181397130</v>
      </c>
      <c r="I23" s="5">
        <v>6101017</v>
      </c>
      <c r="J23" s="5">
        <f t="shared" si="0"/>
        <v>189447607</v>
      </c>
      <c r="K23" s="5">
        <f t="shared" si="1"/>
        <v>1949460</v>
      </c>
      <c r="L23" s="5">
        <f t="shared" si="2"/>
        <v>185102261</v>
      </c>
      <c r="M23" s="5">
        <f t="shared" si="3"/>
        <v>193152738</v>
      </c>
      <c r="N23" s="6">
        <f t="shared" si="4"/>
        <v>0.95832066848568309</v>
      </c>
      <c r="O23" s="62">
        <f t="shared" si="5"/>
        <v>96.189873339418625</v>
      </c>
    </row>
    <row r="24" spans="1:15" x14ac:dyDescent="0.2">
      <c r="A24" s="3">
        <v>29</v>
      </c>
      <c r="B24" s="4" t="s">
        <v>57</v>
      </c>
      <c r="C24" s="32" t="s">
        <v>377</v>
      </c>
      <c r="D24" s="5">
        <v>0</v>
      </c>
      <c r="E24" s="24">
        <v>4010365</v>
      </c>
      <c r="F24" s="24">
        <v>4010365</v>
      </c>
      <c r="G24" s="5">
        <v>2084662</v>
      </c>
      <c r="H24" s="5">
        <v>170724700</v>
      </c>
      <c r="I24" s="5">
        <v>5739864</v>
      </c>
      <c r="J24" s="5">
        <f t="shared" si="0"/>
        <v>178549226</v>
      </c>
      <c r="K24" s="5">
        <f t="shared" si="1"/>
        <v>2084662</v>
      </c>
      <c r="L24" s="5">
        <f t="shared" si="2"/>
        <v>174735065</v>
      </c>
      <c r="M24" s="5">
        <f t="shared" si="3"/>
        <v>182559591</v>
      </c>
      <c r="N24" s="6">
        <f t="shared" si="4"/>
        <v>0.95713987987626459</v>
      </c>
      <c r="O24" s="62">
        <f t="shared" si="5"/>
        <v>96.071353609524792</v>
      </c>
    </row>
    <row r="25" spans="1:15" x14ac:dyDescent="0.2">
      <c r="A25" s="3">
        <v>30</v>
      </c>
      <c r="B25" s="4" t="s">
        <v>59</v>
      </c>
      <c r="C25" s="32" t="s">
        <v>378</v>
      </c>
      <c r="D25" s="5">
        <v>0</v>
      </c>
      <c r="E25" s="24">
        <v>3386688</v>
      </c>
      <c r="F25" s="24">
        <v>3386688</v>
      </c>
      <c r="G25" s="5">
        <v>9384662</v>
      </c>
      <c r="H25" s="5">
        <v>277780211</v>
      </c>
      <c r="I25" s="5">
        <v>3238012</v>
      </c>
      <c r="J25" s="5">
        <f t="shared" si="0"/>
        <v>290402885</v>
      </c>
      <c r="K25" s="5">
        <f t="shared" si="1"/>
        <v>9384662</v>
      </c>
      <c r="L25" s="5">
        <f t="shared" si="2"/>
        <v>281166899</v>
      </c>
      <c r="M25" s="5">
        <f t="shared" si="3"/>
        <v>293789573</v>
      </c>
      <c r="N25" s="6">
        <f t="shared" si="4"/>
        <v>0.95703498299444412</v>
      </c>
      <c r="O25" s="62">
        <f t="shared" si="5"/>
        <v>96.060824756179741</v>
      </c>
    </row>
    <row r="26" spans="1:15" x14ac:dyDescent="0.2">
      <c r="A26" s="3">
        <v>31</v>
      </c>
      <c r="B26" s="4" t="s">
        <v>61</v>
      </c>
      <c r="C26" s="32" t="s">
        <v>379</v>
      </c>
      <c r="D26" s="5">
        <v>0</v>
      </c>
      <c r="E26" s="24">
        <v>5834822</v>
      </c>
      <c r="F26" s="24">
        <v>5834822</v>
      </c>
      <c r="G26" s="5">
        <v>4337430</v>
      </c>
      <c r="H26" s="5">
        <v>120299024</v>
      </c>
      <c r="I26" s="5">
        <v>1967019</v>
      </c>
      <c r="J26" s="5">
        <f t="shared" si="0"/>
        <v>126603473</v>
      </c>
      <c r="K26" s="5">
        <f t="shared" si="1"/>
        <v>4337430</v>
      </c>
      <c r="L26" s="5">
        <f t="shared" si="2"/>
        <v>126133846</v>
      </c>
      <c r="M26" s="5">
        <f t="shared" si="3"/>
        <v>132438295</v>
      </c>
      <c r="N26" s="6">
        <f t="shared" si="4"/>
        <v>0.95239708424213709</v>
      </c>
      <c r="O26" s="62">
        <f t="shared" si="5"/>
        <v>95.595303236905394</v>
      </c>
    </row>
    <row r="27" spans="1:15" x14ac:dyDescent="0.2">
      <c r="A27" s="3">
        <v>25</v>
      </c>
      <c r="B27" s="4" t="s">
        <v>49</v>
      </c>
      <c r="C27" s="32" t="s">
        <v>373</v>
      </c>
      <c r="D27" s="5">
        <v>0</v>
      </c>
      <c r="E27" s="24">
        <v>2750513</v>
      </c>
      <c r="F27" s="24">
        <v>2750513</v>
      </c>
      <c r="G27" s="5">
        <v>2524061</v>
      </c>
      <c r="H27" s="5">
        <v>53731883</v>
      </c>
      <c r="I27" s="5">
        <v>328371</v>
      </c>
      <c r="J27" s="5">
        <f t="shared" si="0"/>
        <v>56584315</v>
      </c>
      <c r="K27" s="5">
        <f t="shared" si="1"/>
        <v>2524061</v>
      </c>
      <c r="L27" s="5">
        <f t="shared" si="2"/>
        <v>56482396</v>
      </c>
      <c r="M27" s="5">
        <f t="shared" si="3"/>
        <v>59334828</v>
      </c>
      <c r="N27" s="6">
        <f t="shared" si="4"/>
        <v>0.95192651439050269</v>
      </c>
      <c r="O27" s="62">
        <f t="shared" si="5"/>
        <v>95.548070555909817</v>
      </c>
    </row>
    <row r="28" spans="1:15" x14ac:dyDescent="0.2">
      <c r="A28" s="3">
        <v>33</v>
      </c>
      <c r="B28" s="4" t="s">
        <v>64</v>
      </c>
      <c r="C28" s="32" t="s">
        <v>381</v>
      </c>
      <c r="D28" s="5">
        <v>0</v>
      </c>
      <c r="E28" s="24">
        <v>1744975</v>
      </c>
      <c r="F28" s="24">
        <v>1744975</v>
      </c>
      <c r="G28" s="5">
        <v>3003465</v>
      </c>
      <c r="H28" s="5">
        <v>91134540</v>
      </c>
      <c r="I28" s="5">
        <v>1696890</v>
      </c>
      <c r="J28" s="5">
        <f t="shared" si="0"/>
        <v>95834895</v>
      </c>
      <c r="K28" s="5">
        <f t="shared" si="1"/>
        <v>3003465</v>
      </c>
      <c r="L28" s="5">
        <f t="shared" si="2"/>
        <v>92879515</v>
      </c>
      <c r="M28" s="5">
        <f t="shared" si="3"/>
        <v>97579870</v>
      </c>
      <c r="N28" s="6">
        <f t="shared" si="4"/>
        <v>0.95183069007982901</v>
      </c>
      <c r="O28" s="62">
        <f t="shared" si="5"/>
        <v>95.538452347089262</v>
      </c>
    </row>
    <row r="29" spans="1:15" x14ac:dyDescent="0.2">
      <c r="A29" s="3">
        <v>32</v>
      </c>
      <c r="B29" s="4" t="s">
        <v>62</v>
      </c>
      <c r="C29" s="32" t="s">
        <v>380</v>
      </c>
      <c r="D29" s="5">
        <v>0</v>
      </c>
      <c r="E29" s="24">
        <v>2045196</v>
      </c>
      <c r="F29" s="24">
        <v>2045196</v>
      </c>
      <c r="G29" s="5">
        <v>2882285</v>
      </c>
      <c r="H29" s="5">
        <v>96382234</v>
      </c>
      <c r="I29" s="5">
        <v>2146211</v>
      </c>
      <c r="J29" s="5">
        <f t="shared" si="0"/>
        <v>101410730</v>
      </c>
      <c r="K29" s="5">
        <f t="shared" si="1"/>
        <v>2882285</v>
      </c>
      <c r="L29" s="5">
        <f t="shared" si="2"/>
        <v>98427430</v>
      </c>
      <c r="M29" s="5">
        <f t="shared" si="3"/>
        <v>103455926</v>
      </c>
      <c r="N29" s="6">
        <f t="shared" si="4"/>
        <v>0.95139479975269858</v>
      </c>
      <c r="O29" s="62">
        <f t="shared" si="5"/>
        <v>95.494700566776729</v>
      </c>
    </row>
    <row r="30" spans="1:15" x14ac:dyDescent="0.2">
      <c r="A30" s="3">
        <v>3</v>
      </c>
      <c r="B30" s="4" t="s">
        <v>7</v>
      </c>
      <c r="C30" s="32" t="s">
        <v>351</v>
      </c>
      <c r="D30" s="5">
        <v>0</v>
      </c>
      <c r="E30" s="24">
        <v>13836870</v>
      </c>
      <c r="F30" s="24">
        <v>13836870</v>
      </c>
      <c r="G30" s="5">
        <v>5042276</v>
      </c>
      <c r="H30" s="5">
        <v>125619404</v>
      </c>
      <c r="I30" s="5">
        <v>2099325</v>
      </c>
      <c r="J30" s="5">
        <f t="shared" si="0"/>
        <v>132761005</v>
      </c>
      <c r="K30" s="5">
        <f t="shared" si="1"/>
        <v>5042276</v>
      </c>
      <c r="L30" s="5">
        <f t="shared" si="2"/>
        <v>139456274</v>
      </c>
      <c r="M30" s="5">
        <f t="shared" si="3"/>
        <v>146597875</v>
      </c>
      <c r="N30" s="6">
        <f t="shared" si="4"/>
        <v>0.9512844166397364</v>
      </c>
      <c r="O30" s="62">
        <f t="shared" si="5"/>
        <v>95.483621041933105</v>
      </c>
    </row>
    <row r="31" spans="1:15" x14ac:dyDescent="0.2">
      <c r="A31" s="3">
        <v>6</v>
      </c>
      <c r="B31" s="4" t="s">
        <v>13</v>
      </c>
      <c r="C31" s="32" t="s">
        <v>354</v>
      </c>
      <c r="D31" s="5">
        <v>350</v>
      </c>
      <c r="E31" s="24">
        <v>3261697</v>
      </c>
      <c r="F31" s="24">
        <v>3262047</v>
      </c>
      <c r="G31" s="5">
        <v>3602572</v>
      </c>
      <c r="H31" s="5">
        <v>75083507</v>
      </c>
      <c r="I31" s="5">
        <v>604156</v>
      </c>
      <c r="J31" s="5">
        <f t="shared" si="0"/>
        <v>79290235</v>
      </c>
      <c r="K31" s="5">
        <f t="shared" si="1"/>
        <v>3602922</v>
      </c>
      <c r="L31" s="5">
        <f t="shared" si="2"/>
        <v>78345204</v>
      </c>
      <c r="M31" s="5">
        <f t="shared" si="3"/>
        <v>82552282</v>
      </c>
      <c r="N31" s="6">
        <f t="shared" si="4"/>
        <v>0.94903741122504648</v>
      </c>
      <c r="O31" s="62">
        <f t="shared" si="5"/>
        <v>95.258081540031768</v>
      </c>
    </row>
    <row r="32" spans="1:15" x14ac:dyDescent="0.2">
      <c r="A32" s="3">
        <v>34</v>
      </c>
      <c r="B32" s="4" t="s">
        <v>66</v>
      </c>
      <c r="C32" s="32" t="s">
        <v>382</v>
      </c>
      <c r="D32" s="5">
        <v>0</v>
      </c>
      <c r="E32" s="24">
        <v>3556660</v>
      </c>
      <c r="F32" s="24">
        <v>3556660</v>
      </c>
      <c r="G32" s="5">
        <v>374000</v>
      </c>
      <c r="H32" s="5">
        <v>44153203</v>
      </c>
      <c r="I32" s="5">
        <v>2204425</v>
      </c>
      <c r="J32" s="5">
        <f t="shared" si="0"/>
        <v>46731628</v>
      </c>
      <c r="K32" s="5">
        <f t="shared" si="1"/>
        <v>374000</v>
      </c>
      <c r="L32" s="5">
        <f t="shared" si="2"/>
        <v>47709863</v>
      </c>
      <c r="M32" s="5">
        <f t="shared" si="3"/>
        <v>50288288</v>
      </c>
      <c r="N32" s="6">
        <f t="shared" si="4"/>
        <v>0.94872712707976858</v>
      </c>
      <c r="O32" s="62">
        <f t="shared" si="5"/>
        <v>95.226937275262159</v>
      </c>
    </row>
    <row r="33" spans="1:15" x14ac:dyDescent="0.2">
      <c r="A33" s="3">
        <v>35</v>
      </c>
      <c r="B33" s="4" t="s">
        <v>68</v>
      </c>
      <c r="C33" s="32" t="s">
        <v>383</v>
      </c>
      <c r="D33" s="5">
        <v>0</v>
      </c>
      <c r="E33" s="24">
        <v>1748964</v>
      </c>
      <c r="F33" s="24">
        <v>1748964</v>
      </c>
      <c r="G33" s="5">
        <v>6061194</v>
      </c>
      <c r="H33" s="5">
        <v>216672979</v>
      </c>
      <c r="I33" s="5">
        <v>5815918</v>
      </c>
      <c r="J33" s="5">
        <f t="shared" si="0"/>
        <v>228550091</v>
      </c>
      <c r="K33" s="5">
        <f t="shared" si="1"/>
        <v>6061194</v>
      </c>
      <c r="L33" s="5">
        <f t="shared" si="2"/>
        <v>218421943</v>
      </c>
      <c r="M33" s="5">
        <f t="shared" si="3"/>
        <v>230299055</v>
      </c>
      <c r="N33" s="6">
        <f t="shared" si="4"/>
        <v>0.94842743927021322</v>
      </c>
      <c r="O33" s="62">
        <f t="shared" si="5"/>
        <v>95.196856600399897</v>
      </c>
    </row>
    <row r="34" spans="1:15" x14ac:dyDescent="0.2">
      <c r="A34" s="3">
        <v>7</v>
      </c>
      <c r="B34" s="4" t="s">
        <v>14</v>
      </c>
      <c r="C34" s="32" t="s">
        <v>355</v>
      </c>
      <c r="D34" s="5">
        <v>0</v>
      </c>
      <c r="E34" s="24">
        <v>2020741</v>
      </c>
      <c r="F34" s="24">
        <v>2020741</v>
      </c>
      <c r="G34" s="5">
        <v>1871140</v>
      </c>
      <c r="H34" s="5">
        <v>38373693</v>
      </c>
      <c r="I34" s="5">
        <v>547096</v>
      </c>
      <c r="J34" s="5">
        <f t="shared" ref="J34:J51" si="6">SUM(G34:I34)</f>
        <v>40791929</v>
      </c>
      <c r="K34" s="5">
        <f t="shared" ref="K34:K51" si="7">+D34+G34</f>
        <v>1871140</v>
      </c>
      <c r="L34" s="5">
        <f t="shared" ref="L34:L51" si="8">+E34+H34</f>
        <v>40394434</v>
      </c>
      <c r="M34" s="5">
        <f t="shared" ref="M34:M51" si="9">+F34+J34</f>
        <v>42812670</v>
      </c>
      <c r="N34" s="6">
        <f t="shared" ref="N34:N51" si="10">(L34/M34)</f>
        <v>0.9435158797617621</v>
      </c>
      <c r="O34" s="62">
        <f t="shared" si="5"/>
        <v>94.703866829279264</v>
      </c>
    </row>
    <row r="35" spans="1:15" x14ac:dyDescent="0.2">
      <c r="A35" s="3">
        <v>36</v>
      </c>
      <c r="B35" s="4" t="s">
        <v>69</v>
      </c>
      <c r="C35" s="32" t="s">
        <v>384</v>
      </c>
      <c r="D35" s="5">
        <v>0</v>
      </c>
      <c r="E35" s="24">
        <v>1943825</v>
      </c>
      <c r="F35" s="24">
        <v>1943825</v>
      </c>
      <c r="G35" s="5">
        <v>2063745</v>
      </c>
      <c r="H35" s="5">
        <v>35443274</v>
      </c>
      <c r="I35" s="5">
        <v>206467</v>
      </c>
      <c r="J35" s="5">
        <f t="shared" si="6"/>
        <v>37713486</v>
      </c>
      <c r="K35" s="5">
        <f t="shared" si="7"/>
        <v>2063745</v>
      </c>
      <c r="L35" s="5">
        <f t="shared" si="8"/>
        <v>37387099</v>
      </c>
      <c r="M35" s="5">
        <f t="shared" si="9"/>
        <v>39657311</v>
      </c>
      <c r="N35" s="6">
        <f t="shared" si="10"/>
        <v>0.94275426288988684</v>
      </c>
      <c r="O35" s="62">
        <f t="shared" ref="O35:O51" si="11">(N35/$N$2)*$O$2</f>
        <v>94.62742077854908</v>
      </c>
    </row>
    <row r="36" spans="1:15" x14ac:dyDescent="0.2">
      <c r="A36" s="3">
        <v>37</v>
      </c>
      <c r="B36" s="4" t="s">
        <v>71</v>
      </c>
      <c r="C36" s="32" t="s">
        <v>385</v>
      </c>
      <c r="D36" s="5">
        <v>0</v>
      </c>
      <c r="E36" s="24">
        <v>1672035</v>
      </c>
      <c r="F36" s="24">
        <v>1672035</v>
      </c>
      <c r="G36" s="5">
        <v>1721158</v>
      </c>
      <c r="H36" s="5">
        <v>26171420</v>
      </c>
      <c r="I36" s="5">
        <v>0</v>
      </c>
      <c r="J36" s="5">
        <f t="shared" si="6"/>
        <v>27892578</v>
      </c>
      <c r="K36" s="5">
        <f t="shared" si="7"/>
        <v>1721158</v>
      </c>
      <c r="L36" s="5">
        <f t="shared" si="8"/>
        <v>27843455</v>
      </c>
      <c r="M36" s="5">
        <f t="shared" si="9"/>
        <v>29564613</v>
      </c>
      <c r="N36" s="6">
        <f t="shared" si="10"/>
        <v>0.94178317165863124</v>
      </c>
      <c r="O36" s="62">
        <f t="shared" si="11"/>
        <v>94.529949080810255</v>
      </c>
    </row>
    <row r="37" spans="1:15" x14ac:dyDescent="0.2">
      <c r="A37" s="3">
        <v>20</v>
      </c>
      <c r="B37" s="4" t="s">
        <v>40</v>
      </c>
      <c r="C37" s="32" t="s">
        <v>368</v>
      </c>
      <c r="D37" s="5">
        <v>0</v>
      </c>
      <c r="E37" s="24">
        <v>6090486</v>
      </c>
      <c r="F37" s="24">
        <v>6090486</v>
      </c>
      <c r="G37" s="5">
        <v>8736801</v>
      </c>
      <c r="H37" s="5">
        <v>219937960</v>
      </c>
      <c r="I37" s="5">
        <v>5761019</v>
      </c>
      <c r="J37" s="5">
        <f t="shared" si="6"/>
        <v>234435780</v>
      </c>
      <c r="K37" s="5">
        <f t="shared" si="7"/>
        <v>8736801</v>
      </c>
      <c r="L37" s="5">
        <f t="shared" si="8"/>
        <v>226028446</v>
      </c>
      <c r="M37" s="5">
        <f t="shared" si="9"/>
        <v>240526266</v>
      </c>
      <c r="N37" s="6">
        <f t="shared" si="10"/>
        <v>0.93972458708522089</v>
      </c>
      <c r="O37" s="62">
        <f t="shared" si="11"/>
        <v>94.323322013392712</v>
      </c>
    </row>
    <row r="38" spans="1:15" x14ac:dyDescent="0.2">
      <c r="A38" s="3">
        <v>40</v>
      </c>
      <c r="B38" s="4" t="s">
        <v>76</v>
      </c>
      <c r="C38" s="32" t="s">
        <v>388</v>
      </c>
      <c r="D38" s="5">
        <v>0</v>
      </c>
      <c r="E38" s="24">
        <v>4317336</v>
      </c>
      <c r="F38" s="24">
        <v>4317336</v>
      </c>
      <c r="G38" s="5">
        <v>2658237</v>
      </c>
      <c r="H38" s="5">
        <v>40750280</v>
      </c>
      <c r="I38" s="5">
        <v>309608</v>
      </c>
      <c r="J38" s="5">
        <f t="shared" si="6"/>
        <v>43718125</v>
      </c>
      <c r="K38" s="5">
        <f t="shared" si="7"/>
        <v>2658237</v>
      </c>
      <c r="L38" s="5">
        <f t="shared" si="8"/>
        <v>45067616</v>
      </c>
      <c r="M38" s="5">
        <f t="shared" si="9"/>
        <v>48035461</v>
      </c>
      <c r="N38" s="6">
        <f t="shared" si="10"/>
        <v>0.9382155403900464</v>
      </c>
      <c r="O38" s="62">
        <f t="shared" si="11"/>
        <v>94.171853913783139</v>
      </c>
    </row>
    <row r="39" spans="1:15" x14ac:dyDescent="0.2">
      <c r="A39" s="3">
        <v>42</v>
      </c>
      <c r="B39" s="4" t="s">
        <v>79</v>
      </c>
      <c r="C39" s="32" t="s">
        <v>390</v>
      </c>
      <c r="D39" s="5">
        <v>0</v>
      </c>
      <c r="E39" s="24">
        <v>2840129</v>
      </c>
      <c r="F39" s="24">
        <v>2840129</v>
      </c>
      <c r="G39" s="5">
        <v>1874631</v>
      </c>
      <c r="H39" s="5">
        <v>24945524</v>
      </c>
      <c r="I39" s="5">
        <v>0</v>
      </c>
      <c r="J39" s="5">
        <f t="shared" si="6"/>
        <v>26820155</v>
      </c>
      <c r="K39" s="5">
        <f t="shared" si="7"/>
        <v>1874631</v>
      </c>
      <c r="L39" s="5">
        <f t="shared" si="8"/>
        <v>27785653</v>
      </c>
      <c r="M39" s="5">
        <f t="shared" si="9"/>
        <v>29660284</v>
      </c>
      <c r="N39" s="6">
        <f t="shared" si="10"/>
        <v>0.93679659304678264</v>
      </c>
      <c r="O39" s="62">
        <f t="shared" si="11"/>
        <v>94.029429389600111</v>
      </c>
    </row>
    <row r="40" spans="1:15" x14ac:dyDescent="0.2">
      <c r="A40" s="3">
        <v>39</v>
      </c>
      <c r="B40" s="4" t="s">
        <v>74</v>
      </c>
      <c r="C40" s="32" t="s">
        <v>387</v>
      </c>
      <c r="D40" s="5">
        <v>0</v>
      </c>
      <c r="E40" s="24">
        <v>1911716</v>
      </c>
      <c r="F40" s="24">
        <v>1911716</v>
      </c>
      <c r="G40" s="5">
        <v>9344151</v>
      </c>
      <c r="H40" s="5">
        <v>166035698</v>
      </c>
      <c r="I40" s="5">
        <v>1998231</v>
      </c>
      <c r="J40" s="5">
        <f t="shared" si="6"/>
        <v>177378080</v>
      </c>
      <c r="K40" s="5">
        <f t="shared" si="7"/>
        <v>9344151</v>
      </c>
      <c r="L40" s="5">
        <f t="shared" si="8"/>
        <v>167947414</v>
      </c>
      <c r="M40" s="5">
        <f t="shared" si="9"/>
        <v>179289796</v>
      </c>
      <c r="N40" s="6">
        <f t="shared" si="10"/>
        <v>0.93673715820391701</v>
      </c>
      <c r="O40" s="62">
        <f t="shared" si="11"/>
        <v>94.023463714231511</v>
      </c>
    </row>
    <row r="41" spans="1:15" x14ac:dyDescent="0.2">
      <c r="A41" s="3">
        <v>4</v>
      </c>
      <c r="B41" s="4" t="s">
        <v>9</v>
      </c>
      <c r="C41" s="32" t="s">
        <v>352</v>
      </c>
      <c r="D41" s="5">
        <v>0</v>
      </c>
      <c r="E41" s="24">
        <v>16146568</v>
      </c>
      <c r="F41" s="24">
        <v>16146568</v>
      </c>
      <c r="G41" s="5">
        <v>23778593</v>
      </c>
      <c r="H41" s="5">
        <v>448718706</v>
      </c>
      <c r="I41" s="5">
        <v>7932090</v>
      </c>
      <c r="J41" s="5">
        <f t="shared" si="6"/>
        <v>480429389</v>
      </c>
      <c r="K41" s="5">
        <f t="shared" si="7"/>
        <v>23778593</v>
      </c>
      <c r="L41" s="5">
        <f t="shared" si="8"/>
        <v>464865274</v>
      </c>
      <c r="M41" s="5">
        <f t="shared" si="9"/>
        <v>496575957</v>
      </c>
      <c r="N41" s="6">
        <f t="shared" si="10"/>
        <v>0.9361413242969393</v>
      </c>
      <c r="O41" s="62">
        <f t="shared" si="11"/>
        <v>93.963657858083096</v>
      </c>
    </row>
    <row r="42" spans="1:15" x14ac:dyDescent="0.2">
      <c r="A42" s="3">
        <v>41</v>
      </c>
      <c r="B42" s="4" t="s">
        <v>77</v>
      </c>
      <c r="C42" s="32" t="s">
        <v>389</v>
      </c>
      <c r="D42" s="5">
        <v>0</v>
      </c>
      <c r="E42" s="24">
        <v>2016780</v>
      </c>
      <c r="F42" s="24">
        <v>2016780</v>
      </c>
      <c r="G42" s="5">
        <v>20994446</v>
      </c>
      <c r="H42" s="5">
        <v>457865444</v>
      </c>
      <c r="I42" s="5">
        <v>10663620</v>
      </c>
      <c r="J42" s="5">
        <f t="shared" si="6"/>
        <v>489523510</v>
      </c>
      <c r="K42" s="5">
        <f t="shared" si="7"/>
        <v>20994446</v>
      </c>
      <c r="L42" s="5">
        <f t="shared" si="8"/>
        <v>459882224</v>
      </c>
      <c r="M42" s="5">
        <f t="shared" si="9"/>
        <v>491540290</v>
      </c>
      <c r="N42" s="6">
        <f t="shared" si="10"/>
        <v>0.93559415851750427</v>
      </c>
      <c r="O42" s="62">
        <f t="shared" si="11"/>
        <v>93.908736985821534</v>
      </c>
    </row>
    <row r="43" spans="1:15" x14ac:dyDescent="0.2">
      <c r="A43" s="3">
        <v>38</v>
      </c>
      <c r="B43" s="4" t="s">
        <v>72</v>
      </c>
      <c r="C43" s="32" t="s">
        <v>386</v>
      </c>
      <c r="D43" s="5">
        <v>0</v>
      </c>
      <c r="E43" s="24">
        <v>1889164</v>
      </c>
      <c r="F43" s="24">
        <v>1889164</v>
      </c>
      <c r="G43" s="5">
        <v>4217592</v>
      </c>
      <c r="H43" s="5">
        <v>63275236</v>
      </c>
      <c r="I43" s="5">
        <v>305000</v>
      </c>
      <c r="J43" s="5">
        <f t="shared" si="6"/>
        <v>67797828</v>
      </c>
      <c r="K43" s="5">
        <f t="shared" si="7"/>
        <v>4217592</v>
      </c>
      <c r="L43" s="5">
        <f t="shared" si="8"/>
        <v>65164400</v>
      </c>
      <c r="M43" s="5">
        <f t="shared" si="9"/>
        <v>69686992</v>
      </c>
      <c r="N43" s="6">
        <f t="shared" si="10"/>
        <v>0.93510134574326298</v>
      </c>
      <c r="O43" s="62">
        <f t="shared" si="11"/>
        <v>93.85927170776462</v>
      </c>
    </row>
    <row r="44" spans="1:15" x14ac:dyDescent="0.2">
      <c r="A44" s="3">
        <v>43</v>
      </c>
      <c r="B44" s="4" t="s">
        <v>81</v>
      </c>
      <c r="C44" s="32" t="s">
        <v>391</v>
      </c>
      <c r="D44" s="5">
        <v>0</v>
      </c>
      <c r="E44" s="24">
        <v>4551258</v>
      </c>
      <c r="F44" s="24">
        <v>4551258</v>
      </c>
      <c r="G44" s="5">
        <v>5400295</v>
      </c>
      <c r="H44" s="5">
        <v>90913766</v>
      </c>
      <c r="I44" s="5">
        <v>1861642</v>
      </c>
      <c r="J44" s="5">
        <f t="shared" si="6"/>
        <v>98175703</v>
      </c>
      <c r="K44" s="5">
        <f t="shared" si="7"/>
        <v>5400295</v>
      </c>
      <c r="L44" s="5">
        <f t="shared" si="8"/>
        <v>95465024</v>
      </c>
      <c r="M44" s="5">
        <f t="shared" si="9"/>
        <v>102726961</v>
      </c>
      <c r="N44" s="6">
        <f t="shared" si="10"/>
        <v>0.92930836336139644</v>
      </c>
      <c r="O44" s="62">
        <f t="shared" si="11"/>
        <v>93.277810554005157</v>
      </c>
    </row>
    <row r="45" spans="1:15" x14ac:dyDescent="0.2">
      <c r="A45" s="3">
        <v>44</v>
      </c>
      <c r="B45" s="4" t="s">
        <v>83</v>
      </c>
      <c r="C45" s="32" t="s">
        <v>392</v>
      </c>
      <c r="D45" s="5">
        <v>0</v>
      </c>
      <c r="E45" s="24">
        <v>2360978</v>
      </c>
      <c r="F45" s="24">
        <v>2360978</v>
      </c>
      <c r="G45" s="5">
        <v>2749734</v>
      </c>
      <c r="H45" s="5">
        <v>30290913</v>
      </c>
      <c r="I45" s="5">
        <v>691077</v>
      </c>
      <c r="J45" s="5">
        <f t="shared" si="6"/>
        <v>33731724</v>
      </c>
      <c r="K45" s="5">
        <f t="shared" si="7"/>
        <v>2749734</v>
      </c>
      <c r="L45" s="5">
        <f t="shared" si="8"/>
        <v>32651891</v>
      </c>
      <c r="M45" s="5">
        <f t="shared" si="9"/>
        <v>36092702</v>
      </c>
      <c r="N45" s="6">
        <f t="shared" si="10"/>
        <v>0.90466740339916918</v>
      </c>
      <c r="O45" s="62">
        <f t="shared" si="11"/>
        <v>90.80451440619936</v>
      </c>
    </row>
    <row r="46" spans="1:15" x14ac:dyDescent="0.2">
      <c r="A46" s="3">
        <v>45</v>
      </c>
      <c r="B46" s="4" t="s">
        <v>85</v>
      </c>
      <c r="C46" s="32" t="s">
        <v>393</v>
      </c>
      <c r="D46" s="5">
        <v>0</v>
      </c>
      <c r="E46" s="24">
        <v>2535928</v>
      </c>
      <c r="F46" s="24">
        <v>2535928</v>
      </c>
      <c r="G46" s="5">
        <v>3639376</v>
      </c>
      <c r="H46" s="5">
        <v>29233087</v>
      </c>
      <c r="I46" s="5">
        <v>0</v>
      </c>
      <c r="J46" s="5">
        <f t="shared" si="6"/>
        <v>32872463</v>
      </c>
      <c r="K46" s="5">
        <f t="shared" si="7"/>
        <v>3639376</v>
      </c>
      <c r="L46" s="5">
        <f t="shared" si="8"/>
        <v>31769015</v>
      </c>
      <c r="M46" s="5">
        <f t="shared" si="9"/>
        <v>35408391</v>
      </c>
      <c r="N46" s="6">
        <f t="shared" si="10"/>
        <v>0.89721713138560855</v>
      </c>
      <c r="O46" s="62">
        <f t="shared" si="11"/>
        <v>90.056705509975671</v>
      </c>
    </row>
    <row r="47" spans="1:15" x14ac:dyDescent="0.2">
      <c r="A47" s="3">
        <v>47</v>
      </c>
      <c r="B47" s="4" t="s">
        <v>89</v>
      </c>
      <c r="C47" s="32" t="s">
        <v>395</v>
      </c>
      <c r="D47" s="5">
        <v>0</v>
      </c>
      <c r="E47" s="24">
        <v>11108098</v>
      </c>
      <c r="F47" s="24">
        <v>11108098</v>
      </c>
      <c r="G47" s="5">
        <v>9133283</v>
      </c>
      <c r="H47" s="5">
        <v>71995068</v>
      </c>
      <c r="I47" s="5">
        <v>647600</v>
      </c>
      <c r="J47" s="5">
        <f t="shared" si="6"/>
        <v>81775951</v>
      </c>
      <c r="K47" s="5">
        <f t="shared" si="7"/>
        <v>9133283</v>
      </c>
      <c r="L47" s="5">
        <f t="shared" si="8"/>
        <v>83103166</v>
      </c>
      <c r="M47" s="5">
        <f t="shared" si="9"/>
        <v>92884049</v>
      </c>
      <c r="N47" s="6">
        <f t="shared" si="10"/>
        <v>0.89469792601310905</v>
      </c>
      <c r="O47" s="62">
        <f t="shared" si="11"/>
        <v>89.803844381477205</v>
      </c>
    </row>
    <row r="48" spans="1:15" x14ac:dyDescent="0.2">
      <c r="A48" s="3">
        <v>46</v>
      </c>
      <c r="B48" s="4" t="s">
        <v>87</v>
      </c>
      <c r="C48" s="32" t="s">
        <v>394</v>
      </c>
      <c r="D48" s="5">
        <v>0</v>
      </c>
      <c r="E48" s="24">
        <v>5793222</v>
      </c>
      <c r="F48" s="24">
        <v>5793222</v>
      </c>
      <c r="G48" s="5">
        <v>11812219</v>
      </c>
      <c r="H48" s="5">
        <v>121687058</v>
      </c>
      <c r="I48" s="5">
        <v>3538072</v>
      </c>
      <c r="J48" s="5">
        <f t="shared" si="6"/>
        <v>137037349</v>
      </c>
      <c r="K48" s="5">
        <f t="shared" si="7"/>
        <v>11812219</v>
      </c>
      <c r="L48" s="5">
        <f t="shared" si="8"/>
        <v>127480280</v>
      </c>
      <c r="M48" s="5">
        <f t="shared" si="9"/>
        <v>142830571</v>
      </c>
      <c r="N48" s="6">
        <f t="shared" si="10"/>
        <v>0.89252797288053964</v>
      </c>
      <c r="O48" s="62">
        <f t="shared" si="11"/>
        <v>89.586038876662045</v>
      </c>
    </row>
    <row r="49" spans="1:15" x14ac:dyDescent="0.2">
      <c r="A49" s="3">
        <v>49</v>
      </c>
      <c r="B49" s="4" t="s">
        <v>93</v>
      </c>
      <c r="C49" s="32" t="s">
        <v>397</v>
      </c>
      <c r="D49" s="5">
        <v>0</v>
      </c>
      <c r="E49" s="24">
        <v>7014064</v>
      </c>
      <c r="F49" s="24">
        <v>7014064</v>
      </c>
      <c r="G49" s="5">
        <v>498489</v>
      </c>
      <c r="H49" s="5">
        <v>20197773</v>
      </c>
      <c r="I49" s="5">
        <v>2868613</v>
      </c>
      <c r="J49" s="5">
        <f t="shared" si="6"/>
        <v>23564875</v>
      </c>
      <c r="K49" s="5">
        <f t="shared" si="7"/>
        <v>498489</v>
      </c>
      <c r="L49" s="5">
        <f t="shared" si="8"/>
        <v>27211837</v>
      </c>
      <c r="M49" s="5">
        <f t="shared" si="9"/>
        <v>30578939</v>
      </c>
      <c r="N49" s="6">
        <f t="shared" si="10"/>
        <v>0.88988820050296713</v>
      </c>
      <c r="O49" s="62">
        <f t="shared" si="11"/>
        <v>89.321076031767092</v>
      </c>
    </row>
    <row r="50" spans="1:15" x14ac:dyDescent="0.2">
      <c r="A50" s="3">
        <v>48</v>
      </c>
      <c r="B50" s="4" t="s">
        <v>91</v>
      </c>
      <c r="C50" s="32" t="s">
        <v>396</v>
      </c>
      <c r="D50" s="5">
        <v>0</v>
      </c>
      <c r="E50" s="24">
        <v>8651092</v>
      </c>
      <c r="F50" s="24">
        <v>8651092</v>
      </c>
      <c r="G50" s="5">
        <v>10569695</v>
      </c>
      <c r="H50" s="5">
        <v>69567144</v>
      </c>
      <c r="I50" s="5">
        <v>85050</v>
      </c>
      <c r="J50" s="5">
        <f t="shared" si="6"/>
        <v>80221889</v>
      </c>
      <c r="K50" s="5">
        <f t="shared" si="7"/>
        <v>10569695</v>
      </c>
      <c r="L50" s="5">
        <f t="shared" si="8"/>
        <v>78218236</v>
      </c>
      <c r="M50" s="5">
        <f t="shared" si="9"/>
        <v>88872981</v>
      </c>
      <c r="N50" s="6">
        <f t="shared" si="10"/>
        <v>0.88011266326263993</v>
      </c>
      <c r="O50" s="62">
        <f t="shared" si="11"/>
        <v>88.339872432706983</v>
      </c>
    </row>
    <row r="51" spans="1:15" x14ac:dyDescent="0.2">
      <c r="A51" s="3">
        <v>50</v>
      </c>
      <c r="B51" s="4" t="s">
        <v>95</v>
      </c>
      <c r="C51" s="32" t="s">
        <v>398</v>
      </c>
      <c r="D51" s="5">
        <v>0</v>
      </c>
      <c r="E51" s="24">
        <v>2636774</v>
      </c>
      <c r="F51" s="24">
        <v>2636774</v>
      </c>
      <c r="G51" s="5">
        <v>5213896</v>
      </c>
      <c r="H51" s="5">
        <v>23921049</v>
      </c>
      <c r="I51" s="5">
        <v>47933</v>
      </c>
      <c r="J51" s="5">
        <f t="shared" si="6"/>
        <v>29182878</v>
      </c>
      <c r="K51" s="5">
        <f t="shared" si="7"/>
        <v>5213896</v>
      </c>
      <c r="L51" s="5">
        <f t="shared" si="8"/>
        <v>26557823</v>
      </c>
      <c r="M51" s="5">
        <f t="shared" si="9"/>
        <v>31819652</v>
      </c>
      <c r="N51" s="6">
        <f t="shared" si="10"/>
        <v>0.83463587219621382</v>
      </c>
      <c r="O51" s="62">
        <f t="shared" si="11"/>
        <v>83.77521373712122</v>
      </c>
    </row>
    <row r="52" spans="1:15" x14ac:dyDescent="0.2">
      <c r="A52" s="13"/>
      <c r="B52" s="13"/>
      <c r="C52" s="10" t="s">
        <v>233</v>
      </c>
      <c r="D52" s="11">
        <v>0</v>
      </c>
      <c r="E52" s="11">
        <f t="shared" ref="E52:M52" si="12">SUM(E2:E51)</f>
        <v>287941263</v>
      </c>
      <c r="F52" s="11">
        <f t="shared" si="12"/>
        <v>287941613</v>
      </c>
      <c r="G52" s="11">
        <f t="shared" si="12"/>
        <v>209534615</v>
      </c>
      <c r="H52" s="11">
        <f t="shared" si="12"/>
        <v>7882363326</v>
      </c>
      <c r="I52" s="11">
        <f t="shared" si="12"/>
        <v>129773377</v>
      </c>
      <c r="J52" s="11">
        <f t="shared" si="12"/>
        <v>8221671318</v>
      </c>
      <c r="K52" s="11">
        <f t="shared" si="12"/>
        <v>209534965</v>
      </c>
      <c r="L52" s="11">
        <f t="shared" si="12"/>
        <v>8170304589</v>
      </c>
      <c r="M52" s="11">
        <f t="shared" si="12"/>
        <v>8509612931</v>
      </c>
      <c r="N52" s="11"/>
      <c r="O52" s="13"/>
    </row>
    <row r="58" spans="1:15" s="50" customFormat="1" x14ac:dyDescent="0.2">
      <c r="E58" s="63"/>
      <c r="F58" s="63"/>
      <c r="G58" s="63"/>
      <c r="M58" s="64"/>
      <c r="N58" s="64"/>
    </row>
    <row r="59" spans="1:15" s="50" customFormat="1" x14ac:dyDescent="0.2">
      <c r="F59" s="65"/>
      <c r="G59" s="66"/>
      <c r="M59" s="64"/>
      <c r="N59" s="64"/>
    </row>
    <row r="60" spans="1:15" s="50" customFormat="1" x14ac:dyDescent="0.2">
      <c r="F60" s="65"/>
      <c r="G60" s="66"/>
    </row>
    <row r="61" spans="1:15" s="50" customFormat="1" x14ac:dyDescent="0.2">
      <c r="F61" s="65"/>
      <c r="G61" s="66"/>
      <c r="M61" s="64"/>
    </row>
    <row r="62" spans="1:15" s="50" customFormat="1" x14ac:dyDescent="0.2">
      <c r="G62" s="67"/>
    </row>
    <row r="63" spans="1:15" s="50" customFormat="1" x14ac:dyDescent="0.2"/>
    <row r="64" spans="1:15" s="50" customFormat="1" x14ac:dyDescent="0.2"/>
    <row r="65" spans="5:7" s="50" customFormat="1" x14ac:dyDescent="0.2"/>
    <row r="66" spans="5:7" s="50" customFormat="1" x14ac:dyDescent="0.2"/>
    <row r="67" spans="5:7" s="50" customFormat="1" x14ac:dyDescent="0.2"/>
    <row r="68" spans="5:7" s="50" customFormat="1" x14ac:dyDescent="0.2"/>
    <row r="69" spans="5:7" s="50" customFormat="1" x14ac:dyDescent="0.2"/>
    <row r="70" spans="5:7" s="50" customFormat="1" x14ac:dyDescent="0.2"/>
    <row r="71" spans="5:7" s="50" customFormat="1" x14ac:dyDescent="0.2"/>
    <row r="72" spans="5:7" s="50" customFormat="1" x14ac:dyDescent="0.2"/>
    <row r="73" spans="5:7" s="50" customFormat="1" x14ac:dyDescent="0.2"/>
    <row r="74" spans="5:7" s="50" customFormat="1" x14ac:dyDescent="0.2"/>
    <row r="75" spans="5:7" s="50" customFormat="1" x14ac:dyDescent="0.2">
      <c r="E75" s="63"/>
      <c r="F75" s="63"/>
    </row>
    <row r="76" spans="5:7" s="50" customFormat="1" x14ac:dyDescent="0.2">
      <c r="F76" s="65"/>
    </row>
    <row r="77" spans="5:7" s="50" customFormat="1" x14ac:dyDescent="0.2">
      <c r="F77" s="65"/>
    </row>
    <row r="78" spans="5:7" s="50" customFormat="1" x14ac:dyDescent="0.2"/>
    <row r="79" spans="5:7" s="50" customFormat="1" x14ac:dyDescent="0.2">
      <c r="E79" s="63"/>
      <c r="F79" s="63"/>
      <c r="G79" s="63"/>
    </row>
    <row r="80" spans="5:7" s="50" customFormat="1" x14ac:dyDescent="0.2">
      <c r="F80" s="65"/>
      <c r="G80" s="66"/>
    </row>
    <row r="81" spans="6:7" s="50" customFormat="1" x14ac:dyDescent="0.2">
      <c r="F81" s="65"/>
      <c r="G81" s="66"/>
    </row>
    <row r="82" spans="6:7" s="50" customFormat="1" x14ac:dyDescent="0.2">
      <c r="F82" s="65"/>
      <c r="G82" s="66"/>
    </row>
    <row r="83" spans="6:7" s="50" customFormat="1" x14ac:dyDescent="0.2">
      <c r="G83" s="67"/>
    </row>
    <row r="84" spans="6:7" s="50" customFormat="1" x14ac:dyDescent="0.2"/>
  </sheetData>
  <sortState xmlns:xlrd2="http://schemas.microsoft.com/office/spreadsheetml/2017/richdata2" ref="B2:N51">
    <sortCondition descending="1" ref="N2:N51"/>
  </sortState>
  <mergeCells count="3">
    <mergeCell ref="E75:F75"/>
    <mergeCell ref="E58:G58"/>
    <mergeCell ref="E79:G79"/>
  </mergeCells>
  <phoneticPr fontId="12" type="noConversion"/>
  <pageMargins left="0.7" right="0.7" top="0.75" bottom="0.75" header="0.3" footer="0.3"/>
  <pageSetup paperSize="9" orientation="portrait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EC631-0EE3-4DDC-9F1E-E2EF340DB7D4}">
  <sheetPr codeName="Sheet1"/>
  <dimension ref="A1:L52"/>
  <sheetViews>
    <sheetView workbookViewId="0"/>
  </sheetViews>
  <sheetFormatPr baseColWidth="10" defaultColWidth="8.83203125" defaultRowHeight="15" x14ac:dyDescent="0.2"/>
  <cols>
    <col min="1" max="1" width="4.5" bestFit="1" customWidth="1"/>
    <col min="2" max="2" width="12.83203125" customWidth="1"/>
    <col min="3" max="3" width="23.5" bestFit="1" customWidth="1"/>
    <col min="4" max="4" width="18.5" bestFit="1" customWidth="1"/>
    <col min="5" max="5" width="14.5" bestFit="1" customWidth="1"/>
    <col min="6" max="7" width="11.1640625" customWidth="1"/>
    <col min="8" max="8" width="17.5" bestFit="1" customWidth="1"/>
    <col min="9" max="9" width="20.5" bestFit="1" customWidth="1"/>
    <col min="10" max="10" width="18.33203125" bestFit="1" customWidth="1"/>
    <col min="11" max="11" width="19.5" bestFit="1" customWidth="1"/>
    <col min="12" max="12" width="15.1640625" bestFit="1" customWidth="1"/>
  </cols>
  <sheetData>
    <row r="1" spans="1:12" ht="15" customHeight="1" x14ac:dyDescent="0.2">
      <c r="A1" s="26" t="s">
        <v>0</v>
      </c>
      <c r="B1" s="27" t="s">
        <v>181</v>
      </c>
      <c r="C1" s="26" t="s">
        <v>2</v>
      </c>
      <c r="D1" s="26" t="s">
        <v>4</v>
      </c>
      <c r="E1" s="26" t="s">
        <v>3</v>
      </c>
      <c r="F1" s="26" t="s">
        <v>180</v>
      </c>
      <c r="G1" s="26" t="s">
        <v>235</v>
      </c>
      <c r="H1" s="8"/>
      <c r="I1" s="8"/>
      <c r="J1" s="8"/>
      <c r="K1" s="8"/>
      <c r="L1" s="8"/>
    </row>
    <row r="2" spans="1:12" x14ac:dyDescent="0.2">
      <c r="A2" s="24">
        <v>48</v>
      </c>
      <c r="B2" s="24" t="s">
        <v>91</v>
      </c>
      <c r="C2" s="24" t="s">
        <v>229</v>
      </c>
      <c r="D2" s="26">
        <v>16255</v>
      </c>
      <c r="E2" s="26">
        <v>5169</v>
      </c>
      <c r="F2" s="25">
        <f t="shared" ref="F2:F33" si="0">(E2/D2)</f>
        <v>0.31799446324207936</v>
      </c>
      <c r="G2" s="28">
        <f t="shared" ref="G2:G33" si="1">($F$51/F2)*$G$51</f>
        <v>17.78419064344126</v>
      </c>
      <c r="H2" s="9"/>
      <c r="I2" s="8"/>
      <c r="J2" s="23"/>
      <c r="K2" s="9"/>
      <c r="L2" s="9"/>
    </row>
    <row r="3" spans="1:12" x14ac:dyDescent="0.2">
      <c r="A3" s="24">
        <v>49</v>
      </c>
      <c r="B3" s="24" t="s">
        <v>93</v>
      </c>
      <c r="C3" s="24" t="s">
        <v>230</v>
      </c>
      <c r="D3" s="26">
        <v>14478</v>
      </c>
      <c r="E3" s="26">
        <v>4188</v>
      </c>
      <c r="F3" s="25">
        <f t="shared" si="0"/>
        <v>0.28926647326978866</v>
      </c>
      <c r="G3" s="28">
        <f t="shared" si="1"/>
        <v>19.550396193275528</v>
      </c>
      <c r="H3" s="9"/>
      <c r="I3" s="8"/>
      <c r="J3" s="23"/>
      <c r="K3" s="9"/>
      <c r="L3" s="9"/>
    </row>
    <row r="4" spans="1:12" x14ac:dyDescent="0.2">
      <c r="A4" s="24">
        <v>8</v>
      </c>
      <c r="B4" s="24" t="s">
        <v>16</v>
      </c>
      <c r="C4" s="24" t="s">
        <v>189</v>
      </c>
      <c r="D4" s="26">
        <v>8022</v>
      </c>
      <c r="E4" s="26">
        <v>2263</v>
      </c>
      <c r="F4" s="25">
        <f t="shared" si="0"/>
        <v>0.28209922712540514</v>
      </c>
      <c r="G4" s="28">
        <f t="shared" si="1"/>
        <v>20.047109719098604</v>
      </c>
      <c r="H4" s="9"/>
      <c r="I4" s="8"/>
      <c r="J4" s="23"/>
      <c r="K4" s="9"/>
      <c r="L4" s="9"/>
    </row>
    <row r="5" spans="1:12" x14ac:dyDescent="0.2">
      <c r="A5" s="24">
        <v>40</v>
      </c>
      <c r="B5" s="24" t="s">
        <v>76</v>
      </c>
      <c r="C5" s="24" t="s">
        <v>221</v>
      </c>
      <c r="D5" s="26">
        <v>9134</v>
      </c>
      <c r="E5" s="26">
        <v>2514</v>
      </c>
      <c r="F5" s="25">
        <f t="shared" si="0"/>
        <v>0.27523538427851979</v>
      </c>
      <c r="G5" s="28">
        <f t="shared" si="1"/>
        <v>20.547046204397741</v>
      </c>
      <c r="H5" s="9"/>
      <c r="I5" s="8"/>
      <c r="J5" s="23"/>
      <c r="K5" s="9"/>
      <c r="L5" s="9"/>
    </row>
    <row r="6" spans="1:12" x14ac:dyDescent="0.2">
      <c r="A6" s="24">
        <v>46</v>
      </c>
      <c r="B6" s="24" t="s">
        <v>87</v>
      </c>
      <c r="C6" s="24" t="s">
        <v>227</v>
      </c>
      <c r="D6" s="26">
        <v>12826</v>
      </c>
      <c r="E6" s="26">
        <v>3501</v>
      </c>
      <c r="F6" s="25">
        <f t="shared" si="0"/>
        <v>0.27296117261811942</v>
      </c>
      <c r="G6" s="28">
        <f t="shared" si="1"/>
        <v>20.718236603444716</v>
      </c>
      <c r="H6" s="9"/>
      <c r="I6" s="8"/>
      <c r="J6" s="23"/>
      <c r="K6" s="9"/>
      <c r="L6" s="9"/>
    </row>
    <row r="7" spans="1:12" x14ac:dyDescent="0.2">
      <c r="A7" s="24">
        <v>31</v>
      </c>
      <c r="B7" s="24" t="s">
        <v>61</v>
      </c>
      <c r="C7" s="24" t="s">
        <v>212</v>
      </c>
      <c r="D7" s="26">
        <v>13428</v>
      </c>
      <c r="E7" s="26">
        <v>3261</v>
      </c>
      <c r="F7" s="25">
        <f t="shared" si="0"/>
        <v>0.24285075960679178</v>
      </c>
      <c r="G7" s="28">
        <f t="shared" si="1"/>
        <v>23.287035078714872</v>
      </c>
      <c r="H7" s="9"/>
      <c r="I7" s="9"/>
      <c r="J7" s="9"/>
      <c r="K7" s="9"/>
      <c r="L7" s="9"/>
    </row>
    <row r="8" spans="1:12" x14ac:dyDescent="0.2">
      <c r="A8" s="24">
        <v>34</v>
      </c>
      <c r="B8" s="24" t="s">
        <v>66</v>
      </c>
      <c r="C8" s="24" t="s">
        <v>215</v>
      </c>
      <c r="D8" s="26">
        <v>7977</v>
      </c>
      <c r="E8" s="26">
        <v>1886</v>
      </c>
      <c r="F8" s="25">
        <f t="shared" si="0"/>
        <v>0.23642973548953242</v>
      </c>
      <c r="G8" s="28">
        <f t="shared" si="1"/>
        <v>23.919470815067136</v>
      </c>
      <c r="H8" s="9"/>
      <c r="I8" s="9"/>
      <c r="J8" s="9"/>
      <c r="K8" s="9"/>
      <c r="L8" s="9"/>
    </row>
    <row r="9" spans="1:12" x14ac:dyDescent="0.2">
      <c r="A9" s="24">
        <v>19</v>
      </c>
      <c r="B9" s="24" t="s">
        <v>38</v>
      </c>
      <c r="C9" s="24" t="s">
        <v>200</v>
      </c>
      <c r="D9" s="26">
        <v>14857</v>
      </c>
      <c r="E9" s="26">
        <v>3462</v>
      </c>
      <c r="F9" s="25">
        <f t="shared" si="0"/>
        <v>0.23302147136030155</v>
      </c>
      <c r="G9" s="28">
        <f t="shared" si="1"/>
        <v>24.269326448083568</v>
      </c>
      <c r="H9" s="9"/>
      <c r="I9" s="9"/>
      <c r="J9" s="9"/>
      <c r="K9" s="9"/>
      <c r="L9" s="9"/>
    </row>
    <row r="10" spans="1:12" x14ac:dyDescent="0.2">
      <c r="A10" s="24">
        <v>9</v>
      </c>
      <c r="B10" s="24" t="s">
        <v>18</v>
      </c>
      <c r="C10" s="24" t="s">
        <v>190</v>
      </c>
      <c r="D10" s="26">
        <v>23110</v>
      </c>
      <c r="E10" s="26">
        <v>5341</v>
      </c>
      <c r="F10" s="25">
        <f t="shared" si="0"/>
        <v>0.23111207269580269</v>
      </c>
      <c r="G10" s="28">
        <f t="shared" si="1"/>
        <v>24.469834448240057</v>
      </c>
      <c r="H10" s="9"/>
      <c r="I10" s="9"/>
      <c r="J10" s="9"/>
      <c r="K10" s="9"/>
      <c r="L10" s="9"/>
    </row>
    <row r="11" spans="1:12" x14ac:dyDescent="0.2">
      <c r="A11" s="24">
        <v>5</v>
      </c>
      <c r="B11" s="24" t="s">
        <v>11</v>
      </c>
      <c r="C11" s="24" t="s">
        <v>186</v>
      </c>
      <c r="D11" s="26">
        <v>24160</v>
      </c>
      <c r="E11" s="26">
        <v>5504</v>
      </c>
      <c r="F11" s="25">
        <f t="shared" si="0"/>
        <v>0.22781456953642384</v>
      </c>
      <c r="G11" s="28">
        <f t="shared" si="1"/>
        <v>24.824023192914037</v>
      </c>
      <c r="H11" s="9"/>
      <c r="I11" s="9"/>
      <c r="J11" s="9"/>
      <c r="K11" s="9"/>
      <c r="L11" s="9"/>
    </row>
    <row r="12" spans="1:12" x14ac:dyDescent="0.2">
      <c r="A12" s="24">
        <v>7</v>
      </c>
      <c r="B12" s="24" t="s">
        <v>14</v>
      </c>
      <c r="C12" s="24" t="s">
        <v>188</v>
      </c>
      <c r="D12" s="26">
        <v>4577</v>
      </c>
      <c r="E12" s="26">
        <v>956</v>
      </c>
      <c r="F12" s="25">
        <f t="shared" si="0"/>
        <v>0.20887043915228315</v>
      </c>
      <c r="G12" s="28">
        <f t="shared" si="1"/>
        <v>27.075512364546565</v>
      </c>
      <c r="H12" s="9"/>
      <c r="I12" s="9"/>
      <c r="J12" s="9"/>
      <c r="K12" s="9"/>
      <c r="L12" s="9"/>
    </row>
    <row r="13" spans="1:12" x14ac:dyDescent="0.2">
      <c r="A13" s="24">
        <v>4</v>
      </c>
      <c r="B13" s="24" t="s">
        <v>9</v>
      </c>
      <c r="C13" s="24" t="s">
        <v>185</v>
      </c>
      <c r="D13" s="26">
        <v>33559</v>
      </c>
      <c r="E13" s="26">
        <v>6915</v>
      </c>
      <c r="F13" s="25">
        <f t="shared" si="0"/>
        <v>0.20605500759855777</v>
      </c>
      <c r="G13" s="28">
        <f t="shared" si="1"/>
        <v>27.445458490742819</v>
      </c>
      <c r="H13" s="9"/>
      <c r="I13" s="9"/>
      <c r="J13" s="9"/>
      <c r="K13" s="9"/>
      <c r="L13" s="9"/>
    </row>
    <row r="14" spans="1:12" x14ac:dyDescent="0.2">
      <c r="A14" s="24">
        <v>37</v>
      </c>
      <c r="B14" s="24" t="s">
        <v>71</v>
      </c>
      <c r="C14" s="24" t="s">
        <v>218</v>
      </c>
      <c r="D14" s="26">
        <v>3755</v>
      </c>
      <c r="E14" s="26">
        <v>765</v>
      </c>
      <c r="F14" s="25">
        <f t="shared" si="0"/>
        <v>0.20372836218375498</v>
      </c>
      <c r="G14" s="28">
        <f t="shared" si="1"/>
        <v>27.758894722547655</v>
      </c>
      <c r="H14" s="9"/>
      <c r="I14" s="9"/>
      <c r="J14" s="9"/>
      <c r="K14" s="9"/>
      <c r="L14" s="9"/>
    </row>
    <row r="15" spans="1:12" x14ac:dyDescent="0.2">
      <c r="A15" s="24">
        <v>41</v>
      </c>
      <c r="B15" s="24" t="s">
        <v>77</v>
      </c>
      <c r="C15" s="24" t="s">
        <v>222</v>
      </c>
      <c r="D15" s="26">
        <v>3874</v>
      </c>
      <c r="E15" s="26">
        <v>781</v>
      </c>
      <c r="F15" s="25">
        <f t="shared" si="0"/>
        <v>0.20160041300980899</v>
      </c>
      <c r="G15" s="28">
        <f t="shared" si="1"/>
        <v>28.051897679300652</v>
      </c>
      <c r="H15" s="9"/>
      <c r="I15" s="9"/>
      <c r="J15" s="9"/>
      <c r="K15" s="9"/>
      <c r="L15" s="9"/>
    </row>
    <row r="16" spans="1:12" x14ac:dyDescent="0.2">
      <c r="A16" s="24">
        <v>47</v>
      </c>
      <c r="B16" s="24" t="s">
        <v>89</v>
      </c>
      <c r="C16" s="24" t="s">
        <v>228</v>
      </c>
      <c r="D16" s="26">
        <v>24430</v>
      </c>
      <c r="E16" s="26">
        <v>4895</v>
      </c>
      <c r="F16" s="25">
        <f t="shared" si="0"/>
        <v>0.20036839950880064</v>
      </c>
      <c r="G16" s="28">
        <f t="shared" si="1"/>
        <v>28.22438154778753</v>
      </c>
      <c r="H16" s="9"/>
      <c r="I16" s="9"/>
      <c r="J16" s="9"/>
      <c r="K16" s="9"/>
      <c r="L16" s="9"/>
    </row>
    <row r="17" spans="1:12" x14ac:dyDescent="0.2">
      <c r="A17" s="24">
        <v>16</v>
      </c>
      <c r="B17" s="24" t="s">
        <v>32</v>
      </c>
      <c r="C17" s="24" t="s">
        <v>197</v>
      </c>
      <c r="D17" s="26">
        <v>9674</v>
      </c>
      <c r="E17" s="26">
        <v>1916</v>
      </c>
      <c r="F17" s="25">
        <f t="shared" si="0"/>
        <v>0.19805664668182757</v>
      </c>
      <c r="G17" s="28">
        <f t="shared" si="1"/>
        <v>28.553821609132623</v>
      </c>
      <c r="H17" s="9"/>
      <c r="I17" s="9"/>
      <c r="J17" s="9"/>
      <c r="K17" s="9"/>
      <c r="L17" s="9"/>
    </row>
    <row r="18" spans="1:12" x14ac:dyDescent="0.2">
      <c r="A18" s="24">
        <v>20</v>
      </c>
      <c r="B18" s="24" t="s">
        <v>40</v>
      </c>
      <c r="C18" s="24" t="s">
        <v>201</v>
      </c>
      <c r="D18" s="26">
        <v>14779</v>
      </c>
      <c r="E18" s="26">
        <v>2888</v>
      </c>
      <c r="F18" s="25">
        <f t="shared" si="0"/>
        <v>0.19541240949996616</v>
      </c>
      <c r="G18" s="28">
        <f t="shared" si="1"/>
        <v>28.940199715703791</v>
      </c>
      <c r="H18" s="9"/>
      <c r="I18" s="9"/>
      <c r="J18" s="9"/>
      <c r="K18" s="9"/>
      <c r="L18" s="9"/>
    </row>
    <row r="19" spans="1:12" x14ac:dyDescent="0.2">
      <c r="A19" s="24">
        <v>29</v>
      </c>
      <c r="B19" s="24" t="s">
        <v>57</v>
      </c>
      <c r="C19" s="24" t="s">
        <v>210</v>
      </c>
      <c r="D19" s="26">
        <v>9040</v>
      </c>
      <c r="E19" s="26">
        <v>1719</v>
      </c>
      <c r="F19" s="25">
        <f t="shared" si="0"/>
        <v>0.19015486725663716</v>
      </c>
      <c r="G19" s="28">
        <f t="shared" si="1"/>
        <v>29.740359736484852</v>
      </c>
      <c r="H19" s="9"/>
      <c r="I19" s="9"/>
      <c r="J19" s="9"/>
      <c r="K19" s="9"/>
      <c r="L19" s="9"/>
    </row>
    <row r="20" spans="1:12" x14ac:dyDescent="0.2">
      <c r="A20" s="24">
        <v>42</v>
      </c>
      <c r="B20" s="24" t="s">
        <v>79</v>
      </c>
      <c r="C20" s="24" t="s">
        <v>223</v>
      </c>
      <c r="D20" s="26">
        <v>6639</v>
      </c>
      <c r="E20" s="26">
        <v>1261</v>
      </c>
      <c r="F20" s="25">
        <f t="shared" si="0"/>
        <v>0.18993824371140233</v>
      </c>
      <c r="G20" s="28">
        <f t="shared" si="1"/>
        <v>29.774278456784621</v>
      </c>
      <c r="H20" s="9"/>
      <c r="I20" s="9"/>
      <c r="J20" s="9"/>
      <c r="K20" s="9"/>
      <c r="L20" s="9"/>
    </row>
    <row r="21" spans="1:12" x14ac:dyDescent="0.2">
      <c r="A21" s="24">
        <v>45</v>
      </c>
      <c r="B21" s="24" t="s">
        <v>85</v>
      </c>
      <c r="C21" s="24" t="s">
        <v>226</v>
      </c>
      <c r="D21" s="26">
        <v>5498</v>
      </c>
      <c r="E21" s="26">
        <v>1034</v>
      </c>
      <c r="F21" s="25">
        <f t="shared" si="0"/>
        <v>0.18806838850491087</v>
      </c>
      <c r="G21" s="28">
        <f t="shared" si="1"/>
        <v>30.070306885775448</v>
      </c>
      <c r="H21" s="9"/>
      <c r="I21" s="9"/>
      <c r="J21" s="9"/>
      <c r="K21" s="9"/>
      <c r="L21" s="9"/>
    </row>
    <row r="22" spans="1:12" x14ac:dyDescent="0.2">
      <c r="A22" s="24">
        <v>26</v>
      </c>
      <c r="B22" s="24" t="s">
        <v>51</v>
      </c>
      <c r="C22" s="24" t="s">
        <v>207</v>
      </c>
      <c r="D22" s="26">
        <v>13365</v>
      </c>
      <c r="E22" s="26">
        <v>2365</v>
      </c>
      <c r="F22" s="25">
        <f t="shared" si="0"/>
        <v>0.17695473251028807</v>
      </c>
      <c r="G22" s="28">
        <f t="shared" si="1"/>
        <v>31.958874892069467</v>
      </c>
      <c r="H22" s="9"/>
      <c r="I22" s="9"/>
      <c r="J22" s="9"/>
      <c r="K22" s="9"/>
      <c r="L22" s="9"/>
    </row>
    <row r="23" spans="1:12" x14ac:dyDescent="0.2">
      <c r="A23" s="24">
        <v>21</v>
      </c>
      <c r="B23" s="24" t="s">
        <v>42</v>
      </c>
      <c r="C23" s="24" t="s">
        <v>202</v>
      </c>
      <c r="D23" s="26">
        <v>5054</v>
      </c>
      <c r="E23" s="26">
        <v>893</v>
      </c>
      <c r="F23" s="25">
        <f t="shared" si="0"/>
        <v>0.17669172932330826</v>
      </c>
      <c r="G23" s="28">
        <f t="shared" si="1"/>
        <v>32.006445233822831</v>
      </c>
      <c r="H23" s="9"/>
      <c r="I23" s="9"/>
      <c r="J23" s="9"/>
      <c r="K23" s="9"/>
      <c r="L23" s="9"/>
    </row>
    <row r="24" spans="1:12" x14ac:dyDescent="0.2">
      <c r="A24" s="24">
        <v>43</v>
      </c>
      <c r="B24" s="24" t="s">
        <v>81</v>
      </c>
      <c r="C24" s="24" t="s">
        <v>224</v>
      </c>
      <c r="D24" s="26">
        <v>10991</v>
      </c>
      <c r="E24" s="26">
        <v>1906</v>
      </c>
      <c r="F24" s="25">
        <f t="shared" si="0"/>
        <v>0.17341461195523611</v>
      </c>
      <c r="G24" s="28">
        <f t="shared" si="1"/>
        <v>32.611289752882655</v>
      </c>
      <c r="H24" s="9"/>
      <c r="I24" s="9"/>
      <c r="J24" s="9"/>
      <c r="K24" s="9"/>
      <c r="L24" s="9"/>
    </row>
    <row r="25" spans="1:12" x14ac:dyDescent="0.2">
      <c r="A25" s="24">
        <v>28</v>
      </c>
      <c r="B25" s="24" t="s">
        <v>55</v>
      </c>
      <c r="C25" s="24" t="s">
        <v>209</v>
      </c>
      <c r="D25" s="26">
        <v>7969</v>
      </c>
      <c r="E25" s="26">
        <v>1327</v>
      </c>
      <c r="F25" s="25">
        <f t="shared" si="0"/>
        <v>0.16652026603086961</v>
      </c>
      <c r="G25" s="28">
        <f t="shared" si="1"/>
        <v>33.961476837945575</v>
      </c>
      <c r="H25" s="9"/>
      <c r="I25" s="9"/>
      <c r="J25" s="9"/>
      <c r="K25" s="9"/>
      <c r="L25" s="9"/>
    </row>
    <row r="26" spans="1:12" x14ac:dyDescent="0.2">
      <c r="A26" s="24">
        <v>38</v>
      </c>
      <c r="B26" s="24" t="s">
        <v>72</v>
      </c>
      <c r="C26" s="24" t="s">
        <v>219</v>
      </c>
      <c r="D26" s="26">
        <v>4166</v>
      </c>
      <c r="E26" s="26">
        <v>681</v>
      </c>
      <c r="F26" s="25">
        <f t="shared" si="0"/>
        <v>0.16346615458473357</v>
      </c>
      <c r="G26" s="28">
        <f t="shared" si="1"/>
        <v>34.595994334255117</v>
      </c>
      <c r="H26" s="9"/>
      <c r="I26" s="9"/>
      <c r="J26" s="9"/>
      <c r="K26" s="9"/>
      <c r="L26" s="9"/>
    </row>
    <row r="27" spans="1:12" x14ac:dyDescent="0.2">
      <c r="A27" s="24">
        <v>3</v>
      </c>
      <c r="B27" s="24" t="s">
        <v>7</v>
      </c>
      <c r="C27" s="24" t="s">
        <v>184</v>
      </c>
      <c r="D27" s="26">
        <v>30523</v>
      </c>
      <c r="E27" s="26">
        <v>4961</v>
      </c>
      <c r="F27" s="25">
        <f t="shared" si="0"/>
        <v>0.16253317170658191</v>
      </c>
      <c r="G27" s="28">
        <f t="shared" si="1"/>
        <v>34.794584382228592</v>
      </c>
      <c r="H27" s="9"/>
      <c r="I27" s="9"/>
      <c r="J27" s="9"/>
      <c r="K27" s="9"/>
      <c r="L27" s="9"/>
    </row>
    <row r="28" spans="1:12" x14ac:dyDescent="0.2">
      <c r="A28" s="24">
        <v>6</v>
      </c>
      <c r="B28" s="24" t="s">
        <v>13</v>
      </c>
      <c r="C28" s="24" t="s">
        <v>187</v>
      </c>
      <c r="D28" s="26">
        <v>7889</v>
      </c>
      <c r="E28" s="26">
        <v>1270</v>
      </c>
      <c r="F28" s="25">
        <f t="shared" si="0"/>
        <v>0.16098364811763213</v>
      </c>
      <c r="G28" s="28">
        <f t="shared" si="1"/>
        <v>35.129494355374256</v>
      </c>
      <c r="H28" s="9"/>
      <c r="I28" s="9"/>
      <c r="J28" s="9"/>
      <c r="K28" s="9"/>
      <c r="L28" s="9"/>
    </row>
    <row r="29" spans="1:12" x14ac:dyDescent="0.2">
      <c r="A29" s="24">
        <v>1</v>
      </c>
      <c r="B29" s="24" t="s">
        <v>5</v>
      </c>
      <c r="C29" s="24" t="s">
        <v>182</v>
      </c>
      <c r="D29" s="26">
        <v>32720</v>
      </c>
      <c r="E29" s="26">
        <v>5249</v>
      </c>
      <c r="F29" s="25">
        <f t="shared" si="0"/>
        <v>0.16042176039119804</v>
      </c>
      <c r="G29" s="28">
        <f t="shared" si="1"/>
        <v>35.252537711001239</v>
      </c>
      <c r="H29" s="9"/>
      <c r="I29" s="9"/>
      <c r="J29" s="9"/>
      <c r="K29" s="9"/>
      <c r="L29" s="9"/>
    </row>
    <row r="30" spans="1:12" x14ac:dyDescent="0.2">
      <c r="A30" s="24">
        <v>44</v>
      </c>
      <c r="B30" s="24" t="s">
        <v>83</v>
      </c>
      <c r="C30" s="24" t="s">
        <v>225</v>
      </c>
      <c r="D30" s="26">
        <v>4437</v>
      </c>
      <c r="E30" s="26">
        <v>702</v>
      </c>
      <c r="F30" s="25">
        <f t="shared" si="0"/>
        <v>0.15821501014198783</v>
      </c>
      <c r="G30" s="28">
        <f t="shared" si="1"/>
        <v>35.744232818243141</v>
      </c>
      <c r="H30" s="9"/>
      <c r="I30" s="9"/>
      <c r="J30" s="9"/>
      <c r="K30" s="9"/>
      <c r="L30" s="9"/>
    </row>
    <row r="31" spans="1:12" x14ac:dyDescent="0.2">
      <c r="A31" s="24">
        <v>36</v>
      </c>
      <c r="B31" s="24" t="s">
        <v>69</v>
      </c>
      <c r="C31" s="24" t="s">
        <v>217</v>
      </c>
      <c r="D31" s="26">
        <v>4073</v>
      </c>
      <c r="E31" s="26">
        <v>636</v>
      </c>
      <c r="F31" s="25">
        <f t="shared" si="0"/>
        <v>0.15615025779523692</v>
      </c>
      <c r="G31" s="28">
        <f t="shared" si="1"/>
        <v>36.21687365557726</v>
      </c>
      <c r="H31" s="9"/>
      <c r="I31" s="9"/>
      <c r="J31" s="9"/>
      <c r="K31" s="9"/>
      <c r="L31" s="9"/>
    </row>
    <row r="32" spans="1:12" x14ac:dyDescent="0.2">
      <c r="A32" s="24">
        <v>18</v>
      </c>
      <c r="B32" s="24" t="s">
        <v>36</v>
      </c>
      <c r="C32" s="24" t="s">
        <v>199</v>
      </c>
      <c r="D32" s="26">
        <v>7485</v>
      </c>
      <c r="E32" s="26">
        <v>1165</v>
      </c>
      <c r="F32" s="25">
        <f t="shared" si="0"/>
        <v>0.15564462257849032</v>
      </c>
      <c r="G32" s="28">
        <f t="shared" si="1"/>
        <v>36.334529675151508</v>
      </c>
      <c r="H32" s="9"/>
      <c r="I32" s="9"/>
      <c r="J32" s="9"/>
      <c r="K32" s="9"/>
      <c r="L32" s="9"/>
    </row>
    <row r="33" spans="1:12" x14ac:dyDescent="0.2">
      <c r="A33" s="24">
        <v>14</v>
      </c>
      <c r="B33" s="24" t="s">
        <v>28</v>
      </c>
      <c r="C33" s="24" t="s">
        <v>195</v>
      </c>
      <c r="D33" s="26">
        <v>30013</v>
      </c>
      <c r="E33" s="26">
        <v>4650</v>
      </c>
      <c r="F33" s="25">
        <f t="shared" si="0"/>
        <v>0.15493286242628193</v>
      </c>
      <c r="G33" s="28">
        <f t="shared" si="1"/>
        <v>36.50145017198485</v>
      </c>
      <c r="H33" s="9"/>
      <c r="I33" s="9"/>
      <c r="J33" s="9"/>
      <c r="K33" s="9"/>
      <c r="L33" s="9"/>
    </row>
    <row r="34" spans="1:12" x14ac:dyDescent="0.2">
      <c r="A34" s="24">
        <v>2</v>
      </c>
      <c r="B34" s="24" t="s">
        <v>6</v>
      </c>
      <c r="C34" s="24" t="s">
        <v>183</v>
      </c>
      <c r="D34" s="26">
        <v>29623</v>
      </c>
      <c r="E34" s="26">
        <v>4498</v>
      </c>
      <c r="F34" s="25">
        <f t="shared" ref="F34:F51" si="2">(E34/D34)</f>
        <v>0.15184147452992608</v>
      </c>
      <c r="G34" s="28">
        <f t="shared" ref="G34:G50" si="3">($F$51/F34)*$G$51</f>
        <v>37.244594570512604</v>
      </c>
      <c r="H34" s="9"/>
      <c r="I34" s="9"/>
      <c r="J34" s="9"/>
      <c r="K34" s="9"/>
      <c r="L34" s="9"/>
    </row>
    <row r="35" spans="1:12" x14ac:dyDescent="0.2">
      <c r="A35" s="24">
        <v>17</v>
      </c>
      <c r="B35" s="24" t="s">
        <v>34</v>
      </c>
      <c r="C35" s="24" t="s">
        <v>198</v>
      </c>
      <c r="D35" s="26">
        <v>8050</v>
      </c>
      <c r="E35" s="26">
        <v>1175</v>
      </c>
      <c r="F35" s="25">
        <f t="shared" si="2"/>
        <v>0.14596273291925466</v>
      </c>
      <c r="G35" s="28">
        <f t="shared" si="3"/>
        <v>38.744644230417109</v>
      </c>
      <c r="H35" s="9"/>
      <c r="I35" s="9"/>
      <c r="J35" s="9"/>
      <c r="K35" s="9"/>
      <c r="L35" s="9"/>
    </row>
    <row r="36" spans="1:12" x14ac:dyDescent="0.2">
      <c r="A36" s="24">
        <v>12</v>
      </c>
      <c r="B36" s="24" t="s">
        <v>24</v>
      </c>
      <c r="C36" s="24" t="s">
        <v>193</v>
      </c>
      <c r="D36" s="26">
        <v>53182</v>
      </c>
      <c r="E36" s="26">
        <v>7740</v>
      </c>
      <c r="F36" s="25">
        <f t="shared" si="2"/>
        <v>0.14553796397277274</v>
      </c>
      <c r="G36" s="28">
        <f t="shared" si="3"/>
        <v>38.857724840192922</v>
      </c>
      <c r="H36" s="9"/>
      <c r="I36" s="9"/>
      <c r="J36" s="9"/>
      <c r="K36" s="9"/>
      <c r="L36" s="9"/>
    </row>
    <row r="37" spans="1:12" x14ac:dyDescent="0.2">
      <c r="A37" s="24">
        <v>10</v>
      </c>
      <c r="B37" s="24" t="s">
        <v>20</v>
      </c>
      <c r="C37" s="24" t="s">
        <v>191</v>
      </c>
      <c r="D37" s="26">
        <v>14815</v>
      </c>
      <c r="E37" s="26">
        <v>2153</v>
      </c>
      <c r="F37" s="25">
        <f t="shared" si="2"/>
        <v>0.14532568342895713</v>
      </c>
      <c r="G37" s="28">
        <f t="shared" si="3"/>
        <v>38.914485206054508</v>
      </c>
      <c r="H37" s="9"/>
      <c r="I37" s="9"/>
      <c r="J37" s="9"/>
      <c r="K37" s="9"/>
      <c r="L37" s="9"/>
    </row>
    <row r="38" spans="1:12" x14ac:dyDescent="0.2">
      <c r="A38" s="24">
        <v>39</v>
      </c>
      <c r="B38" s="24" t="s">
        <v>74</v>
      </c>
      <c r="C38" s="24" t="s">
        <v>220</v>
      </c>
      <c r="D38" s="26">
        <v>4422</v>
      </c>
      <c r="E38" s="26">
        <v>638</v>
      </c>
      <c r="F38" s="25">
        <f t="shared" si="2"/>
        <v>0.14427860696517414</v>
      </c>
      <c r="G38" s="28">
        <f t="shared" si="3"/>
        <v>39.196900197553056</v>
      </c>
      <c r="H38" s="9"/>
      <c r="I38" s="9"/>
      <c r="J38" s="9"/>
      <c r="K38" s="9"/>
      <c r="L38" s="9"/>
    </row>
    <row r="39" spans="1:12" x14ac:dyDescent="0.2">
      <c r="A39" s="24">
        <v>23</v>
      </c>
      <c r="B39" s="24" t="s">
        <v>45</v>
      </c>
      <c r="C39" s="24" t="s">
        <v>204</v>
      </c>
      <c r="D39" s="26">
        <v>6201</v>
      </c>
      <c r="E39" s="26">
        <v>891</v>
      </c>
      <c r="F39" s="25">
        <f t="shared" si="2"/>
        <v>0.14368650217706821</v>
      </c>
      <c r="G39" s="28">
        <f t="shared" si="3"/>
        <v>39.358423179421457</v>
      </c>
      <c r="H39" s="9"/>
      <c r="I39" s="9"/>
      <c r="J39" s="9"/>
      <c r="K39" s="9"/>
      <c r="L39" s="9"/>
    </row>
    <row r="40" spans="1:12" x14ac:dyDescent="0.2">
      <c r="A40" s="24">
        <v>25</v>
      </c>
      <c r="B40" s="24" t="s">
        <v>49</v>
      </c>
      <c r="C40" s="24" t="s">
        <v>206</v>
      </c>
      <c r="D40" s="26">
        <v>5954</v>
      </c>
      <c r="E40" s="26">
        <v>793</v>
      </c>
      <c r="F40" s="25">
        <f t="shared" si="2"/>
        <v>0.1331877729257642</v>
      </c>
      <c r="G40" s="28">
        <f t="shared" si="3"/>
        <v>42.460910890131281</v>
      </c>
      <c r="H40" s="9"/>
      <c r="I40" s="9"/>
      <c r="J40" s="9"/>
      <c r="K40" s="9"/>
      <c r="L40" s="9"/>
    </row>
    <row r="41" spans="1:12" x14ac:dyDescent="0.2">
      <c r="A41" s="24">
        <v>33</v>
      </c>
      <c r="B41" s="24" t="s">
        <v>64</v>
      </c>
      <c r="C41" s="24" t="s">
        <v>214</v>
      </c>
      <c r="D41" s="26">
        <v>4122</v>
      </c>
      <c r="E41" s="26">
        <v>549</v>
      </c>
      <c r="F41" s="25">
        <f t="shared" si="2"/>
        <v>0.1331877729257642</v>
      </c>
      <c r="G41" s="28">
        <f t="shared" si="3"/>
        <v>42.460910890131281</v>
      </c>
      <c r="H41" s="9"/>
      <c r="I41" s="9"/>
      <c r="J41" s="9"/>
      <c r="K41" s="9"/>
      <c r="L41" s="9"/>
    </row>
    <row r="42" spans="1:12" x14ac:dyDescent="0.2">
      <c r="A42" s="24">
        <v>22</v>
      </c>
      <c r="B42" s="24" t="s">
        <v>43</v>
      </c>
      <c r="C42" s="24" t="s">
        <v>203</v>
      </c>
      <c r="D42" s="26">
        <v>6944</v>
      </c>
      <c r="E42" s="26">
        <v>921</v>
      </c>
      <c r="F42" s="25">
        <f t="shared" si="2"/>
        <v>0.13263248847926268</v>
      </c>
      <c r="G42" s="28">
        <f t="shared" si="3"/>
        <v>42.638679426874553</v>
      </c>
      <c r="H42" s="9"/>
      <c r="I42" s="9"/>
      <c r="J42" s="9"/>
      <c r="K42" s="9"/>
      <c r="L42" s="9"/>
    </row>
    <row r="43" spans="1:12" x14ac:dyDescent="0.2">
      <c r="A43" s="24">
        <v>27</v>
      </c>
      <c r="B43" s="24" t="s">
        <v>53</v>
      </c>
      <c r="C43" s="24" t="s">
        <v>208</v>
      </c>
      <c r="D43" s="26">
        <v>9964</v>
      </c>
      <c r="E43" s="26">
        <v>1296</v>
      </c>
      <c r="F43" s="25">
        <f t="shared" si="2"/>
        <v>0.13006824568446407</v>
      </c>
      <c r="G43" s="28">
        <f t="shared" si="3"/>
        <v>43.479283725984821</v>
      </c>
      <c r="H43" s="9"/>
      <c r="I43" s="9"/>
      <c r="J43" s="9"/>
      <c r="K43" s="9"/>
      <c r="L43" s="9"/>
    </row>
    <row r="44" spans="1:12" x14ac:dyDescent="0.2">
      <c r="A44" s="24">
        <v>35</v>
      </c>
      <c r="B44" s="24" t="s">
        <v>68</v>
      </c>
      <c r="C44" s="24" t="s">
        <v>216</v>
      </c>
      <c r="D44" s="26">
        <v>3792</v>
      </c>
      <c r="E44" s="26">
        <v>490</v>
      </c>
      <c r="F44" s="25">
        <f t="shared" si="2"/>
        <v>0.12921940928270043</v>
      </c>
      <c r="G44" s="28">
        <f t="shared" si="3"/>
        <v>43.764897156305352</v>
      </c>
      <c r="H44" s="9"/>
      <c r="I44" s="9"/>
      <c r="J44" s="9"/>
      <c r="K44" s="9"/>
      <c r="L44" s="9"/>
    </row>
    <row r="45" spans="1:12" x14ac:dyDescent="0.2">
      <c r="A45" s="24">
        <v>50</v>
      </c>
      <c r="B45" s="24" t="s">
        <v>95</v>
      </c>
      <c r="C45" s="24" t="s">
        <v>231</v>
      </c>
      <c r="D45" s="26">
        <v>5723</v>
      </c>
      <c r="E45" s="26">
        <v>662</v>
      </c>
      <c r="F45" s="25">
        <f t="shared" si="2"/>
        <v>0.1156735977634108</v>
      </c>
      <c r="G45" s="28">
        <f t="shared" si="3"/>
        <v>48.889930521766459</v>
      </c>
      <c r="H45" s="9"/>
      <c r="I45" s="9"/>
      <c r="J45" s="9"/>
      <c r="K45" s="9"/>
      <c r="L45" s="9"/>
    </row>
    <row r="46" spans="1:12" x14ac:dyDescent="0.2">
      <c r="A46" s="24">
        <v>24</v>
      </c>
      <c r="B46" s="24" t="s">
        <v>47</v>
      </c>
      <c r="C46" s="24" t="s">
        <v>205</v>
      </c>
      <c r="D46" s="26">
        <v>9774</v>
      </c>
      <c r="E46" s="26">
        <v>1107</v>
      </c>
      <c r="F46" s="25">
        <f t="shared" si="2"/>
        <v>0.1132596685082873</v>
      </c>
      <c r="G46" s="28">
        <f t="shared" si="3"/>
        <v>49.931932808386357</v>
      </c>
      <c r="H46" s="9"/>
      <c r="I46" s="9"/>
      <c r="J46" s="9"/>
      <c r="K46" s="9"/>
      <c r="L46" s="9"/>
    </row>
    <row r="47" spans="1:12" x14ac:dyDescent="0.2">
      <c r="A47" s="24">
        <v>30</v>
      </c>
      <c r="B47" s="24" t="s">
        <v>59</v>
      </c>
      <c r="C47" s="24" t="s">
        <v>211</v>
      </c>
      <c r="D47" s="26">
        <v>7650</v>
      </c>
      <c r="E47" s="26">
        <v>854</v>
      </c>
      <c r="F47" s="25">
        <f t="shared" si="2"/>
        <v>0.11163398692810457</v>
      </c>
      <c r="G47" s="28">
        <f t="shared" si="3"/>
        <v>50.659071788756137</v>
      </c>
      <c r="H47" s="9"/>
      <c r="I47" s="8"/>
      <c r="J47" s="23"/>
      <c r="K47" s="9"/>
      <c r="L47" s="9"/>
    </row>
    <row r="48" spans="1:12" x14ac:dyDescent="0.2">
      <c r="A48" s="24">
        <v>15</v>
      </c>
      <c r="B48" s="24" t="s">
        <v>30</v>
      </c>
      <c r="C48" s="24" t="s">
        <v>196</v>
      </c>
      <c r="D48" s="26">
        <v>21014</v>
      </c>
      <c r="E48" s="26">
        <v>2251</v>
      </c>
      <c r="F48" s="25">
        <f t="shared" si="2"/>
        <v>0.10711906348148853</v>
      </c>
      <c r="G48" s="28">
        <f t="shared" si="3"/>
        <v>52.794283053391453</v>
      </c>
      <c r="H48" s="9"/>
      <c r="I48" s="8"/>
      <c r="J48" s="23"/>
      <c r="K48" s="9"/>
      <c r="L48" s="9"/>
    </row>
    <row r="49" spans="1:12" x14ac:dyDescent="0.2">
      <c r="A49" s="24">
        <v>13</v>
      </c>
      <c r="B49" s="24" t="s">
        <v>26</v>
      </c>
      <c r="C49" s="24" t="s">
        <v>194</v>
      </c>
      <c r="D49" s="26">
        <v>14733</v>
      </c>
      <c r="E49" s="26">
        <v>1431</v>
      </c>
      <c r="F49" s="25">
        <f t="shared" si="2"/>
        <v>9.7128894318875988E-2</v>
      </c>
      <c r="G49" s="28">
        <f t="shared" si="3"/>
        <v>58.224426392516548</v>
      </c>
      <c r="H49" s="9"/>
      <c r="I49" s="8"/>
      <c r="J49" s="23"/>
      <c r="K49" s="9"/>
      <c r="L49" s="9"/>
    </row>
    <row r="50" spans="1:12" x14ac:dyDescent="0.2">
      <c r="A50" s="24">
        <v>32</v>
      </c>
      <c r="B50" s="24" t="s">
        <v>62</v>
      </c>
      <c r="C50" s="24" t="s">
        <v>213</v>
      </c>
      <c r="D50" s="26">
        <v>4660</v>
      </c>
      <c r="E50" s="26">
        <v>435</v>
      </c>
      <c r="F50" s="25">
        <f t="shared" si="2"/>
        <v>9.334763948497854E-2</v>
      </c>
      <c r="G50" s="28">
        <f t="shared" si="3"/>
        <v>60.582936955421971</v>
      </c>
      <c r="H50" s="9"/>
      <c r="I50" s="8"/>
      <c r="J50" s="23"/>
      <c r="K50" s="9"/>
      <c r="L50" s="9"/>
    </row>
    <row r="51" spans="1:12" x14ac:dyDescent="0.2">
      <c r="A51" s="24">
        <v>11</v>
      </c>
      <c r="B51" s="24" t="s">
        <v>22</v>
      </c>
      <c r="C51" s="24" t="s">
        <v>192</v>
      </c>
      <c r="D51" s="26">
        <v>12201</v>
      </c>
      <c r="E51" s="26">
        <v>690</v>
      </c>
      <c r="F51" s="25">
        <f t="shared" si="2"/>
        <v>5.6552741578559135E-2</v>
      </c>
      <c r="G51" s="28">
        <v>100</v>
      </c>
      <c r="H51" s="9"/>
      <c r="I51" s="8"/>
      <c r="J51" s="23"/>
      <c r="K51" s="9"/>
      <c r="L51" s="9"/>
    </row>
    <row r="52" spans="1:12" ht="15" customHeight="1" x14ac:dyDescent="0.2">
      <c r="A52" s="29" t="s">
        <v>233</v>
      </c>
      <c r="B52" s="29"/>
      <c r="C52" s="29"/>
      <c r="D52" s="24">
        <f>SUM(D2:D51)</f>
        <v>641581</v>
      </c>
      <c r="E52" s="24">
        <f>SUM(E2:E51)</f>
        <v>114598</v>
      </c>
      <c r="F52" s="24"/>
      <c r="G52" s="24"/>
      <c r="H52" s="8"/>
      <c r="I52" s="9"/>
      <c r="J52" s="8"/>
      <c r="K52" s="8"/>
      <c r="L52" s="8"/>
    </row>
  </sheetData>
  <sortState xmlns:xlrd2="http://schemas.microsoft.com/office/spreadsheetml/2017/richdata2" ref="B2:F51">
    <sortCondition descending="1" ref="F2:F51"/>
  </sortState>
  <pageMargins left="0.75" right="0.75" top="1" bottom="1" header="0.5" footer="0.5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E545F-60C4-4E7B-B883-7601FF057E16}">
  <sheetPr codeName="Sheet2"/>
  <dimension ref="A1:J52"/>
  <sheetViews>
    <sheetView workbookViewId="0">
      <selection activeCell="A2" sqref="A2"/>
    </sheetView>
  </sheetViews>
  <sheetFormatPr baseColWidth="10" defaultColWidth="8.83203125" defaultRowHeight="13" x14ac:dyDescent="0.15"/>
  <cols>
    <col min="1" max="1" width="6" style="49" customWidth="1"/>
    <col min="2" max="2" width="37.5" style="49" customWidth="1"/>
    <col min="3" max="3" width="13.5" style="53" customWidth="1"/>
    <col min="4" max="4" width="30.33203125" style="49" customWidth="1"/>
    <col min="5" max="5" width="20.1640625" style="49" customWidth="1"/>
    <col min="6" max="6" width="11.83203125" style="49" customWidth="1"/>
    <col min="7" max="8" width="9.1640625" style="49"/>
    <col min="9" max="9" width="17.5" style="49" customWidth="1"/>
    <col min="10" max="256" width="9.1640625" style="49"/>
    <col min="257" max="259" width="27.5" style="49" customWidth="1"/>
    <col min="260" max="260" width="18.33203125" style="49" customWidth="1"/>
    <col min="261" max="261" width="19.6640625" style="49" customWidth="1"/>
    <col min="262" max="512" width="9.1640625" style="49"/>
    <col min="513" max="515" width="27.5" style="49" customWidth="1"/>
    <col min="516" max="516" width="18.33203125" style="49" customWidth="1"/>
    <col min="517" max="517" width="19.6640625" style="49" customWidth="1"/>
    <col min="518" max="768" width="9.1640625" style="49"/>
    <col min="769" max="771" width="27.5" style="49" customWidth="1"/>
    <col min="772" max="772" width="18.33203125" style="49" customWidth="1"/>
    <col min="773" max="773" width="19.6640625" style="49" customWidth="1"/>
    <col min="774" max="1024" width="9.1640625" style="49"/>
    <col min="1025" max="1027" width="27.5" style="49" customWidth="1"/>
    <col min="1028" max="1028" width="18.33203125" style="49" customWidth="1"/>
    <col min="1029" max="1029" width="19.6640625" style="49" customWidth="1"/>
    <col min="1030" max="1280" width="9.1640625" style="49"/>
    <col min="1281" max="1283" width="27.5" style="49" customWidth="1"/>
    <col min="1284" max="1284" width="18.33203125" style="49" customWidth="1"/>
    <col min="1285" max="1285" width="19.6640625" style="49" customWidth="1"/>
    <col min="1286" max="1536" width="9.1640625" style="49"/>
    <col min="1537" max="1539" width="27.5" style="49" customWidth="1"/>
    <col min="1540" max="1540" width="18.33203125" style="49" customWidth="1"/>
    <col min="1541" max="1541" width="19.6640625" style="49" customWidth="1"/>
    <col min="1542" max="1792" width="9.1640625" style="49"/>
    <col min="1793" max="1795" width="27.5" style="49" customWidth="1"/>
    <col min="1796" max="1796" width="18.33203125" style="49" customWidth="1"/>
    <col min="1797" max="1797" width="19.6640625" style="49" customWidth="1"/>
    <col min="1798" max="2048" width="9.1640625" style="49"/>
    <col min="2049" max="2051" width="27.5" style="49" customWidth="1"/>
    <col min="2052" max="2052" width="18.33203125" style="49" customWidth="1"/>
    <col min="2053" max="2053" width="19.6640625" style="49" customWidth="1"/>
    <col min="2054" max="2304" width="9.1640625" style="49"/>
    <col min="2305" max="2307" width="27.5" style="49" customWidth="1"/>
    <col min="2308" max="2308" width="18.33203125" style="49" customWidth="1"/>
    <col min="2309" max="2309" width="19.6640625" style="49" customWidth="1"/>
    <col min="2310" max="2560" width="9.1640625" style="49"/>
    <col min="2561" max="2563" width="27.5" style="49" customWidth="1"/>
    <col min="2564" max="2564" width="18.33203125" style="49" customWidth="1"/>
    <col min="2565" max="2565" width="19.6640625" style="49" customWidth="1"/>
    <col min="2566" max="2816" width="9.1640625" style="49"/>
    <col min="2817" max="2819" width="27.5" style="49" customWidth="1"/>
    <col min="2820" max="2820" width="18.33203125" style="49" customWidth="1"/>
    <col min="2821" max="2821" width="19.6640625" style="49" customWidth="1"/>
    <col min="2822" max="3072" width="9.1640625" style="49"/>
    <col min="3073" max="3075" width="27.5" style="49" customWidth="1"/>
    <col min="3076" max="3076" width="18.33203125" style="49" customWidth="1"/>
    <col min="3077" max="3077" width="19.6640625" style="49" customWidth="1"/>
    <col min="3078" max="3328" width="9.1640625" style="49"/>
    <col min="3329" max="3331" width="27.5" style="49" customWidth="1"/>
    <col min="3332" max="3332" width="18.33203125" style="49" customWidth="1"/>
    <col min="3333" max="3333" width="19.6640625" style="49" customWidth="1"/>
    <col min="3334" max="3584" width="9.1640625" style="49"/>
    <col min="3585" max="3587" width="27.5" style="49" customWidth="1"/>
    <col min="3588" max="3588" width="18.33203125" style="49" customWidth="1"/>
    <col min="3589" max="3589" width="19.6640625" style="49" customWidth="1"/>
    <col min="3590" max="3840" width="9.1640625" style="49"/>
    <col min="3841" max="3843" width="27.5" style="49" customWidth="1"/>
    <col min="3844" max="3844" width="18.33203125" style="49" customWidth="1"/>
    <col min="3845" max="3845" width="19.6640625" style="49" customWidth="1"/>
    <col min="3846" max="4096" width="9.1640625" style="49"/>
    <col min="4097" max="4099" width="27.5" style="49" customWidth="1"/>
    <col min="4100" max="4100" width="18.33203125" style="49" customWidth="1"/>
    <col min="4101" max="4101" width="19.6640625" style="49" customWidth="1"/>
    <col min="4102" max="4352" width="9.1640625" style="49"/>
    <col min="4353" max="4355" width="27.5" style="49" customWidth="1"/>
    <col min="4356" max="4356" width="18.33203125" style="49" customWidth="1"/>
    <col min="4357" max="4357" width="19.6640625" style="49" customWidth="1"/>
    <col min="4358" max="4608" width="9.1640625" style="49"/>
    <col min="4609" max="4611" width="27.5" style="49" customWidth="1"/>
    <col min="4612" max="4612" width="18.33203125" style="49" customWidth="1"/>
    <col min="4613" max="4613" width="19.6640625" style="49" customWidth="1"/>
    <col min="4614" max="4864" width="9.1640625" style="49"/>
    <col min="4865" max="4867" width="27.5" style="49" customWidth="1"/>
    <col min="4868" max="4868" width="18.33203125" style="49" customWidth="1"/>
    <col min="4869" max="4869" width="19.6640625" style="49" customWidth="1"/>
    <col min="4870" max="5120" width="9.1640625" style="49"/>
    <col min="5121" max="5123" width="27.5" style="49" customWidth="1"/>
    <col min="5124" max="5124" width="18.33203125" style="49" customWidth="1"/>
    <col min="5125" max="5125" width="19.6640625" style="49" customWidth="1"/>
    <col min="5126" max="5376" width="9.1640625" style="49"/>
    <col min="5377" max="5379" width="27.5" style="49" customWidth="1"/>
    <col min="5380" max="5380" width="18.33203125" style="49" customWidth="1"/>
    <col min="5381" max="5381" width="19.6640625" style="49" customWidth="1"/>
    <col min="5382" max="5632" width="9.1640625" style="49"/>
    <col min="5633" max="5635" width="27.5" style="49" customWidth="1"/>
    <col min="5636" max="5636" width="18.33203125" style="49" customWidth="1"/>
    <col min="5637" max="5637" width="19.6640625" style="49" customWidth="1"/>
    <col min="5638" max="5888" width="9.1640625" style="49"/>
    <col min="5889" max="5891" width="27.5" style="49" customWidth="1"/>
    <col min="5892" max="5892" width="18.33203125" style="49" customWidth="1"/>
    <col min="5893" max="5893" width="19.6640625" style="49" customWidth="1"/>
    <col min="5894" max="6144" width="9.1640625" style="49"/>
    <col min="6145" max="6147" width="27.5" style="49" customWidth="1"/>
    <col min="6148" max="6148" width="18.33203125" style="49" customWidth="1"/>
    <col min="6149" max="6149" width="19.6640625" style="49" customWidth="1"/>
    <col min="6150" max="6400" width="9.1640625" style="49"/>
    <col min="6401" max="6403" width="27.5" style="49" customWidth="1"/>
    <col min="6404" max="6404" width="18.33203125" style="49" customWidth="1"/>
    <col min="6405" max="6405" width="19.6640625" style="49" customWidth="1"/>
    <col min="6406" max="6656" width="9.1640625" style="49"/>
    <col min="6657" max="6659" width="27.5" style="49" customWidth="1"/>
    <col min="6660" max="6660" width="18.33203125" style="49" customWidth="1"/>
    <col min="6661" max="6661" width="19.6640625" style="49" customWidth="1"/>
    <col min="6662" max="6912" width="9.1640625" style="49"/>
    <col min="6913" max="6915" width="27.5" style="49" customWidth="1"/>
    <col min="6916" max="6916" width="18.33203125" style="49" customWidth="1"/>
    <col min="6917" max="6917" width="19.6640625" style="49" customWidth="1"/>
    <col min="6918" max="7168" width="9.1640625" style="49"/>
    <col min="7169" max="7171" width="27.5" style="49" customWidth="1"/>
    <col min="7172" max="7172" width="18.33203125" style="49" customWidth="1"/>
    <col min="7173" max="7173" width="19.6640625" style="49" customWidth="1"/>
    <col min="7174" max="7424" width="9.1640625" style="49"/>
    <col min="7425" max="7427" width="27.5" style="49" customWidth="1"/>
    <col min="7428" max="7428" width="18.33203125" style="49" customWidth="1"/>
    <col min="7429" max="7429" width="19.6640625" style="49" customWidth="1"/>
    <col min="7430" max="7680" width="9.1640625" style="49"/>
    <col min="7681" max="7683" width="27.5" style="49" customWidth="1"/>
    <col min="7684" max="7684" width="18.33203125" style="49" customWidth="1"/>
    <col min="7685" max="7685" width="19.6640625" style="49" customWidth="1"/>
    <col min="7686" max="7936" width="9.1640625" style="49"/>
    <col min="7937" max="7939" width="27.5" style="49" customWidth="1"/>
    <col min="7940" max="7940" width="18.33203125" style="49" customWidth="1"/>
    <col min="7941" max="7941" width="19.6640625" style="49" customWidth="1"/>
    <col min="7942" max="8192" width="9.1640625" style="49"/>
    <col min="8193" max="8195" width="27.5" style="49" customWidth="1"/>
    <col min="8196" max="8196" width="18.33203125" style="49" customWidth="1"/>
    <col min="8197" max="8197" width="19.6640625" style="49" customWidth="1"/>
    <col min="8198" max="8448" width="9.1640625" style="49"/>
    <col min="8449" max="8451" width="27.5" style="49" customWidth="1"/>
    <col min="8452" max="8452" width="18.33203125" style="49" customWidth="1"/>
    <col min="8453" max="8453" width="19.6640625" style="49" customWidth="1"/>
    <col min="8454" max="8704" width="9.1640625" style="49"/>
    <col min="8705" max="8707" width="27.5" style="49" customWidth="1"/>
    <col min="8708" max="8708" width="18.33203125" style="49" customWidth="1"/>
    <col min="8709" max="8709" width="19.6640625" style="49" customWidth="1"/>
    <col min="8710" max="8960" width="9.1640625" style="49"/>
    <col min="8961" max="8963" width="27.5" style="49" customWidth="1"/>
    <col min="8964" max="8964" width="18.33203125" style="49" customWidth="1"/>
    <col min="8965" max="8965" width="19.6640625" style="49" customWidth="1"/>
    <col min="8966" max="9216" width="9.1640625" style="49"/>
    <col min="9217" max="9219" width="27.5" style="49" customWidth="1"/>
    <col min="9220" max="9220" width="18.33203125" style="49" customWidth="1"/>
    <col min="9221" max="9221" width="19.6640625" style="49" customWidth="1"/>
    <col min="9222" max="9472" width="9.1640625" style="49"/>
    <col min="9473" max="9475" width="27.5" style="49" customWidth="1"/>
    <col min="9476" max="9476" width="18.33203125" style="49" customWidth="1"/>
    <col min="9477" max="9477" width="19.6640625" style="49" customWidth="1"/>
    <col min="9478" max="9728" width="9.1640625" style="49"/>
    <col min="9729" max="9731" width="27.5" style="49" customWidth="1"/>
    <col min="9732" max="9732" width="18.33203125" style="49" customWidth="1"/>
    <col min="9733" max="9733" width="19.6640625" style="49" customWidth="1"/>
    <col min="9734" max="9984" width="9.1640625" style="49"/>
    <col min="9985" max="9987" width="27.5" style="49" customWidth="1"/>
    <col min="9988" max="9988" width="18.33203125" style="49" customWidth="1"/>
    <col min="9989" max="9989" width="19.6640625" style="49" customWidth="1"/>
    <col min="9990" max="10240" width="9.1640625" style="49"/>
    <col min="10241" max="10243" width="27.5" style="49" customWidth="1"/>
    <col min="10244" max="10244" width="18.33203125" style="49" customWidth="1"/>
    <col min="10245" max="10245" width="19.6640625" style="49" customWidth="1"/>
    <col min="10246" max="10496" width="9.1640625" style="49"/>
    <col min="10497" max="10499" width="27.5" style="49" customWidth="1"/>
    <col min="10500" max="10500" width="18.33203125" style="49" customWidth="1"/>
    <col min="10501" max="10501" width="19.6640625" style="49" customWidth="1"/>
    <col min="10502" max="10752" width="9.1640625" style="49"/>
    <col min="10753" max="10755" width="27.5" style="49" customWidth="1"/>
    <col min="10756" max="10756" width="18.33203125" style="49" customWidth="1"/>
    <col min="10757" max="10757" width="19.6640625" style="49" customWidth="1"/>
    <col min="10758" max="11008" width="9.1640625" style="49"/>
    <col min="11009" max="11011" width="27.5" style="49" customWidth="1"/>
    <col min="11012" max="11012" width="18.33203125" style="49" customWidth="1"/>
    <col min="11013" max="11013" width="19.6640625" style="49" customWidth="1"/>
    <col min="11014" max="11264" width="9.1640625" style="49"/>
    <col min="11265" max="11267" width="27.5" style="49" customWidth="1"/>
    <col min="11268" max="11268" width="18.33203125" style="49" customWidth="1"/>
    <col min="11269" max="11269" width="19.6640625" style="49" customWidth="1"/>
    <col min="11270" max="11520" width="9.1640625" style="49"/>
    <col min="11521" max="11523" width="27.5" style="49" customWidth="1"/>
    <col min="11524" max="11524" width="18.33203125" style="49" customWidth="1"/>
    <col min="11525" max="11525" width="19.6640625" style="49" customWidth="1"/>
    <col min="11526" max="11776" width="9.1640625" style="49"/>
    <col min="11777" max="11779" width="27.5" style="49" customWidth="1"/>
    <col min="11780" max="11780" width="18.33203125" style="49" customWidth="1"/>
    <col min="11781" max="11781" width="19.6640625" style="49" customWidth="1"/>
    <col min="11782" max="12032" width="9.1640625" style="49"/>
    <col min="12033" max="12035" width="27.5" style="49" customWidth="1"/>
    <col min="12036" max="12036" width="18.33203125" style="49" customWidth="1"/>
    <col min="12037" max="12037" width="19.6640625" style="49" customWidth="1"/>
    <col min="12038" max="12288" width="9.1640625" style="49"/>
    <col min="12289" max="12291" width="27.5" style="49" customWidth="1"/>
    <col min="12292" max="12292" width="18.33203125" style="49" customWidth="1"/>
    <col min="12293" max="12293" width="19.6640625" style="49" customWidth="1"/>
    <col min="12294" max="12544" width="9.1640625" style="49"/>
    <col min="12545" max="12547" width="27.5" style="49" customWidth="1"/>
    <col min="12548" max="12548" width="18.33203125" style="49" customWidth="1"/>
    <col min="12549" max="12549" width="19.6640625" style="49" customWidth="1"/>
    <col min="12550" max="12800" width="9.1640625" style="49"/>
    <col min="12801" max="12803" width="27.5" style="49" customWidth="1"/>
    <col min="12804" max="12804" width="18.33203125" style="49" customWidth="1"/>
    <col min="12805" max="12805" width="19.6640625" style="49" customWidth="1"/>
    <col min="12806" max="13056" width="9.1640625" style="49"/>
    <col min="13057" max="13059" width="27.5" style="49" customWidth="1"/>
    <col min="13060" max="13060" width="18.33203125" style="49" customWidth="1"/>
    <col min="13061" max="13061" width="19.6640625" style="49" customWidth="1"/>
    <col min="13062" max="13312" width="9.1640625" style="49"/>
    <col min="13313" max="13315" width="27.5" style="49" customWidth="1"/>
    <col min="13316" max="13316" width="18.33203125" style="49" customWidth="1"/>
    <col min="13317" max="13317" width="19.6640625" style="49" customWidth="1"/>
    <col min="13318" max="13568" width="9.1640625" style="49"/>
    <col min="13569" max="13571" width="27.5" style="49" customWidth="1"/>
    <col min="13572" max="13572" width="18.33203125" style="49" customWidth="1"/>
    <col min="13573" max="13573" width="19.6640625" style="49" customWidth="1"/>
    <col min="13574" max="13824" width="9.1640625" style="49"/>
    <col min="13825" max="13827" width="27.5" style="49" customWidth="1"/>
    <col min="13828" max="13828" width="18.33203125" style="49" customWidth="1"/>
    <col min="13829" max="13829" width="19.6640625" style="49" customWidth="1"/>
    <col min="13830" max="14080" width="9.1640625" style="49"/>
    <col min="14081" max="14083" width="27.5" style="49" customWidth="1"/>
    <col min="14084" max="14084" width="18.33203125" style="49" customWidth="1"/>
    <col min="14085" max="14085" width="19.6640625" style="49" customWidth="1"/>
    <col min="14086" max="14336" width="9.1640625" style="49"/>
    <col min="14337" max="14339" width="27.5" style="49" customWidth="1"/>
    <col min="14340" max="14340" width="18.33203125" style="49" customWidth="1"/>
    <col min="14341" max="14341" width="19.6640625" style="49" customWidth="1"/>
    <col min="14342" max="14592" width="9.1640625" style="49"/>
    <col min="14593" max="14595" width="27.5" style="49" customWidth="1"/>
    <col min="14596" max="14596" width="18.33203125" style="49" customWidth="1"/>
    <col min="14597" max="14597" width="19.6640625" style="49" customWidth="1"/>
    <col min="14598" max="14848" width="9.1640625" style="49"/>
    <col min="14849" max="14851" width="27.5" style="49" customWidth="1"/>
    <col min="14852" max="14852" width="18.33203125" style="49" customWidth="1"/>
    <col min="14853" max="14853" width="19.6640625" style="49" customWidth="1"/>
    <col min="14854" max="15104" width="9.1640625" style="49"/>
    <col min="15105" max="15107" width="27.5" style="49" customWidth="1"/>
    <col min="15108" max="15108" width="18.33203125" style="49" customWidth="1"/>
    <col min="15109" max="15109" width="19.6640625" style="49" customWidth="1"/>
    <col min="15110" max="15360" width="9.1640625" style="49"/>
    <col min="15361" max="15363" width="27.5" style="49" customWidth="1"/>
    <col min="15364" max="15364" width="18.33203125" style="49" customWidth="1"/>
    <col min="15365" max="15365" width="19.6640625" style="49" customWidth="1"/>
    <col min="15366" max="15616" width="9.1640625" style="49"/>
    <col min="15617" max="15619" width="27.5" style="49" customWidth="1"/>
    <col min="15620" max="15620" width="18.33203125" style="49" customWidth="1"/>
    <col min="15621" max="15621" width="19.6640625" style="49" customWidth="1"/>
    <col min="15622" max="15872" width="9.1640625" style="49"/>
    <col min="15873" max="15875" width="27.5" style="49" customWidth="1"/>
    <col min="15876" max="15876" width="18.33203125" style="49" customWidth="1"/>
    <col min="15877" max="15877" width="19.6640625" style="49" customWidth="1"/>
    <col min="15878" max="16128" width="9.1640625" style="49"/>
    <col min="16129" max="16131" width="27.5" style="49" customWidth="1"/>
    <col min="16132" max="16132" width="18.33203125" style="49" customWidth="1"/>
    <col min="16133" max="16133" width="19.6640625" style="49" customWidth="1"/>
    <col min="16134" max="16379" width="9.1640625" style="49"/>
    <col min="16380" max="16384" width="9.1640625" style="49" customWidth="1"/>
  </cols>
  <sheetData>
    <row r="1" spans="1:10" x14ac:dyDescent="0.15">
      <c r="A1" s="54" t="s">
        <v>177</v>
      </c>
      <c r="B1" s="55" t="s">
        <v>98</v>
      </c>
      <c r="C1" s="56" t="s">
        <v>1</v>
      </c>
      <c r="D1" s="55" t="s">
        <v>178</v>
      </c>
      <c r="E1" s="55" t="s">
        <v>179</v>
      </c>
      <c r="F1" s="55" t="s">
        <v>180</v>
      </c>
      <c r="G1" s="55" t="s">
        <v>234</v>
      </c>
    </row>
    <row r="2" spans="1:10" ht="15" x14ac:dyDescent="0.2">
      <c r="A2" s="54">
        <v>2</v>
      </c>
      <c r="B2" s="13" t="s">
        <v>301</v>
      </c>
      <c r="C2" s="57">
        <v>45</v>
      </c>
      <c r="D2" s="13">
        <v>4989</v>
      </c>
      <c r="E2" s="13">
        <v>1006</v>
      </c>
      <c r="F2" s="58">
        <f t="shared" ref="F2:F33" si="0">(E2/D2)</f>
        <v>0.20164361595510122</v>
      </c>
      <c r="G2" s="59">
        <f t="shared" ref="G2:G33" si="1">($F$51/F2)*$G$51</f>
        <v>21.15059344293806</v>
      </c>
      <c r="J2" s="52"/>
    </row>
    <row r="3" spans="1:10" ht="15" x14ac:dyDescent="0.2">
      <c r="A3" s="54">
        <v>4</v>
      </c>
      <c r="B3" s="13" t="s">
        <v>303</v>
      </c>
      <c r="C3" s="57">
        <v>44</v>
      </c>
      <c r="D3" s="13">
        <v>4041</v>
      </c>
      <c r="E3" s="13">
        <v>630</v>
      </c>
      <c r="F3" s="58">
        <f t="shared" si="0"/>
        <v>0.15590200445434299</v>
      </c>
      <c r="G3" s="59">
        <f t="shared" si="1"/>
        <v>27.356172592888534</v>
      </c>
      <c r="J3" s="52"/>
    </row>
    <row r="4" spans="1:10" ht="15" x14ac:dyDescent="0.2">
      <c r="A4" s="54">
        <v>40</v>
      </c>
      <c r="B4" s="13" t="s">
        <v>337</v>
      </c>
      <c r="C4" s="57">
        <v>10</v>
      </c>
      <c r="D4" s="13">
        <v>14926</v>
      </c>
      <c r="E4" s="13">
        <v>2257</v>
      </c>
      <c r="F4" s="58">
        <f t="shared" si="0"/>
        <v>0.1512126490687391</v>
      </c>
      <c r="G4" s="59">
        <f t="shared" si="1"/>
        <v>28.204532938851763</v>
      </c>
      <c r="J4" s="52"/>
    </row>
    <row r="5" spans="1:10" ht="15" x14ac:dyDescent="0.2">
      <c r="A5" s="54">
        <v>25</v>
      </c>
      <c r="B5" s="13" t="s">
        <v>322</v>
      </c>
      <c r="C5" s="57">
        <v>41</v>
      </c>
      <c r="D5" s="13">
        <v>6423</v>
      </c>
      <c r="E5" s="13">
        <v>905</v>
      </c>
      <c r="F5" s="58">
        <f t="shared" si="0"/>
        <v>0.1408998910166589</v>
      </c>
      <c r="G5" s="59">
        <f t="shared" si="1"/>
        <v>30.268881761775368</v>
      </c>
      <c r="J5" s="52"/>
    </row>
    <row r="6" spans="1:10" ht="15" x14ac:dyDescent="0.2">
      <c r="A6" s="54">
        <v>23</v>
      </c>
      <c r="B6" s="13" t="s">
        <v>320</v>
      </c>
      <c r="C6" s="57">
        <v>9</v>
      </c>
      <c r="D6" s="13">
        <v>23897</v>
      </c>
      <c r="E6" s="13">
        <v>3338</v>
      </c>
      <c r="F6" s="58">
        <f t="shared" si="0"/>
        <v>0.13968280537305938</v>
      </c>
      <c r="G6" s="59">
        <f t="shared" si="1"/>
        <v>30.532620890880612</v>
      </c>
      <c r="J6" s="52"/>
    </row>
    <row r="7" spans="1:10" ht="15" x14ac:dyDescent="0.2">
      <c r="A7" s="54">
        <v>8</v>
      </c>
      <c r="B7" s="13" t="s">
        <v>307</v>
      </c>
      <c r="C7" s="57">
        <v>23</v>
      </c>
      <c r="D7" s="13">
        <v>4026</v>
      </c>
      <c r="E7" s="13">
        <v>520</v>
      </c>
      <c r="F7" s="58">
        <f t="shared" si="0"/>
        <v>0.12916045702930948</v>
      </c>
      <c r="G7" s="59">
        <f t="shared" si="1"/>
        <v>33.020029810381388</v>
      </c>
    </row>
    <row r="8" spans="1:10" ht="15" x14ac:dyDescent="0.2">
      <c r="A8" s="54">
        <v>28</v>
      </c>
      <c r="B8" s="13" t="s">
        <v>325</v>
      </c>
      <c r="C8" s="57">
        <v>2</v>
      </c>
      <c r="D8" s="13">
        <v>14593</v>
      </c>
      <c r="E8" s="13">
        <v>1738</v>
      </c>
      <c r="F8" s="58">
        <f t="shared" si="0"/>
        <v>0.11909819776605221</v>
      </c>
      <c r="G8" s="59">
        <f t="shared" si="1"/>
        <v>35.809795793954045</v>
      </c>
    </row>
    <row r="9" spans="1:10" ht="15" x14ac:dyDescent="0.2">
      <c r="A9" s="54">
        <v>33</v>
      </c>
      <c r="B9" s="13" t="s">
        <v>330</v>
      </c>
      <c r="C9" s="57">
        <v>39</v>
      </c>
      <c r="D9" s="13">
        <v>2570</v>
      </c>
      <c r="E9" s="13">
        <v>290</v>
      </c>
      <c r="F9" s="58">
        <f t="shared" si="0"/>
        <v>0.11284046692607004</v>
      </c>
      <c r="G9" s="59">
        <f t="shared" si="1"/>
        <v>37.795679667158034</v>
      </c>
    </row>
    <row r="10" spans="1:10" ht="15" x14ac:dyDescent="0.2">
      <c r="A10" s="54">
        <v>29</v>
      </c>
      <c r="B10" s="13" t="s">
        <v>326</v>
      </c>
      <c r="C10" s="57">
        <v>49</v>
      </c>
      <c r="D10" s="13">
        <v>10885</v>
      </c>
      <c r="E10" s="13">
        <v>1146</v>
      </c>
      <c r="F10" s="58">
        <f t="shared" si="0"/>
        <v>0.10528249885163068</v>
      </c>
      <c r="G10" s="59">
        <f t="shared" si="1"/>
        <v>40.508937268297238</v>
      </c>
    </row>
    <row r="11" spans="1:10" ht="15" x14ac:dyDescent="0.2">
      <c r="A11" s="54">
        <v>20</v>
      </c>
      <c r="B11" s="13" t="s">
        <v>317</v>
      </c>
      <c r="C11" s="57">
        <v>19</v>
      </c>
      <c r="D11" s="13">
        <v>12171</v>
      </c>
      <c r="E11" s="13">
        <v>1266</v>
      </c>
      <c r="F11" s="58">
        <f t="shared" si="0"/>
        <v>0.10401774710377126</v>
      </c>
      <c r="G11" s="59">
        <f t="shared" si="1"/>
        <v>41.001485421285928</v>
      </c>
    </row>
    <row r="12" spans="1:10" ht="15" x14ac:dyDescent="0.2">
      <c r="A12" s="54">
        <v>31</v>
      </c>
      <c r="B12" s="13" t="s">
        <v>328</v>
      </c>
      <c r="C12" s="57">
        <v>31</v>
      </c>
      <c r="D12" s="13">
        <v>5952</v>
      </c>
      <c r="E12" s="13">
        <v>600</v>
      </c>
      <c r="F12" s="58">
        <f t="shared" si="0"/>
        <v>0.10080645161290322</v>
      </c>
      <c r="G12" s="59">
        <f t="shared" si="1"/>
        <v>42.307630842988416</v>
      </c>
    </row>
    <row r="13" spans="1:10" ht="15" x14ac:dyDescent="0.2">
      <c r="A13" s="54">
        <v>15</v>
      </c>
      <c r="B13" s="13" t="s">
        <v>399</v>
      </c>
      <c r="C13" s="57">
        <v>8</v>
      </c>
      <c r="D13" s="13">
        <v>5446</v>
      </c>
      <c r="E13" s="13">
        <v>534</v>
      </c>
      <c r="F13" s="58">
        <f t="shared" si="0"/>
        <v>9.8053617333822993E-2</v>
      </c>
      <c r="G13" s="59">
        <f t="shared" si="1"/>
        <v>43.495408506047426</v>
      </c>
    </row>
    <row r="14" spans="1:10" ht="15" x14ac:dyDescent="0.2">
      <c r="A14" s="54">
        <v>46</v>
      </c>
      <c r="B14" s="13" t="s">
        <v>343</v>
      </c>
      <c r="C14" s="57">
        <v>48</v>
      </c>
      <c r="D14" s="13">
        <v>16189</v>
      </c>
      <c r="E14" s="13">
        <v>1544</v>
      </c>
      <c r="F14" s="58">
        <f t="shared" si="0"/>
        <v>9.5373401692507256E-2</v>
      </c>
      <c r="G14" s="59">
        <f t="shared" si="1"/>
        <v>44.717731209595115</v>
      </c>
    </row>
    <row r="15" spans="1:10" ht="15" x14ac:dyDescent="0.2">
      <c r="A15" s="54">
        <v>44</v>
      </c>
      <c r="B15" s="13" t="s">
        <v>341</v>
      </c>
      <c r="C15" s="57">
        <v>17</v>
      </c>
      <c r="D15" s="13">
        <v>10166</v>
      </c>
      <c r="E15" s="13">
        <v>965</v>
      </c>
      <c r="F15" s="58">
        <f t="shared" si="0"/>
        <v>9.4924257328349401E-2</v>
      </c>
      <c r="G15" s="59">
        <f t="shared" si="1"/>
        <v>44.929317979046907</v>
      </c>
    </row>
    <row r="16" spans="1:10" ht="15" x14ac:dyDescent="0.2">
      <c r="A16" s="54">
        <v>49</v>
      </c>
      <c r="B16" s="13" t="s">
        <v>346</v>
      </c>
      <c r="C16" s="57">
        <v>37</v>
      </c>
      <c r="D16" s="13">
        <v>3698</v>
      </c>
      <c r="E16" s="13">
        <v>328</v>
      </c>
      <c r="F16" s="58">
        <f t="shared" si="0"/>
        <v>8.8696592752839379E-2</v>
      </c>
      <c r="G16" s="59">
        <f t="shared" si="1"/>
        <v>48.083945606735327</v>
      </c>
    </row>
    <row r="17" spans="1:7" ht="15" x14ac:dyDescent="0.2">
      <c r="A17" s="54">
        <v>26</v>
      </c>
      <c r="B17" s="13" t="s">
        <v>323</v>
      </c>
      <c r="C17" s="57">
        <v>1</v>
      </c>
      <c r="D17" s="13">
        <v>14969</v>
      </c>
      <c r="E17" s="13">
        <v>1314</v>
      </c>
      <c r="F17" s="58">
        <f t="shared" si="0"/>
        <v>8.7781414924176626E-2</v>
      </c>
      <c r="G17" s="59">
        <f t="shared" si="1"/>
        <v>48.585251731407858</v>
      </c>
    </row>
    <row r="18" spans="1:7" ht="15" x14ac:dyDescent="0.2">
      <c r="A18" s="54">
        <v>38</v>
      </c>
      <c r="B18" s="13" t="s">
        <v>335</v>
      </c>
      <c r="C18" s="57">
        <v>6</v>
      </c>
      <c r="D18" s="13">
        <v>5406</v>
      </c>
      <c r="E18" s="13">
        <v>474</v>
      </c>
      <c r="F18" s="58">
        <f t="shared" si="0"/>
        <v>8.7680355160932297E-2</v>
      </c>
      <c r="G18" s="59">
        <f t="shared" si="1"/>
        <v>48.641250752261847</v>
      </c>
    </row>
    <row r="19" spans="1:7" ht="15" x14ac:dyDescent="0.2">
      <c r="A19" s="54">
        <v>50</v>
      </c>
      <c r="B19" s="13" t="s">
        <v>347</v>
      </c>
      <c r="C19" s="57">
        <v>29</v>
      </c>
      <c r="D19" s="13">
        <v>8679</v>
      </c>
      <c r="E19" s="13">
        <v>731</v>
      </c>
      <c r="F19" s="58">
        <f t="shared" si="0"/>
        <v>8.4226293351768636E-2</v>
      </c>
      <c r="G19" s="59">
        <f t="shared" si="1"/>
        <v>50.635994672330277</v>
      </c>
    </row>
    <row r="20" spans="1:7" ht="15" x14ac:dyDescent="0.2">
      <c r="A20" s="54">
        <v>21</v>
      </c>
      <c r="B20" s="13" t="s">
        <v>318</v>
      </c>
      <c r="C20" s="57">
        <v>5</v>
      </c>
      <c r="D20" s="13">
        <v>16955</v>
      </c>
      <c r="E20" s="13">
        <v>1422</v>
      </c>
      <c r="F20" s="58">
        <f t="shared" si="0"/>
        <v>8.3869065172515481E-2</v>
      </c>
      <c r="G20" s="59">
        <f t="shared" si="1"/>
        <v>50.851671383931404</v>
      </c>
    </row>
    <row r="21" spans="1:7" ht="15" x14ac:dyDescent="0.2">
      <c r="A21" s="54">
        <v>17</v>
      </c>
      <c r="B21" s="13" t="s">
        <v>314</v>
      </c>
      <c r="C21" s="57">
        <v>33</v>
      </c>
      <c r="D21" s="13">
        <v>2356</v>
      </c>
      <c r="E21" s="13">
        <v>197</v>
      </c>
      <c r="F21" s="58">
        <f t="shared" si="0"/>
        <v>8.361629881154499E-2</v>
      </c>
      <c r="G21" s="59">
        <f t="shared" si="1"/>
        <v>51.005392513755069</v>
      </c>
    </row>
    <row r="22" spans="1:7" ht="15" x14ac:dyDescent="0.2">
      <c r="A22" s="54">
        <v>39</v>
      </c>
      <c r="B22" s="13" t="s">
        <v>336</v>
      </c>
      <c r="C22" s="57">
        <v>12</v>
      </c>
      <c r="D22" s="13">
        <v>43644</v>
      </c>
      <c r="E22" s="13">
        <v>3619</v>
      </c>
      <c r="F22" s="58">
        <f t="shared" si="0"/>
        <v>8.2920905508202733E-2</v>
      </c>
      <c r="G22" s="59">
        <f t="shared" si="1"/>
        <v>51.433135170097621</v>
      </c>
    </row>
    <row r="23" spans="1:7" ht="15" x14ac:dyDescent="0.2">
      <c r="A23" s="54">
        <v>34</v>
      </c>
      <c r="B23" s="13" t="s">
        <v>331</v>
      </c>
      <c r="C23" s="57">
        <v>15</v>
      </c>
      <c r="D23" s="13">
        <v>20246</v>
      </c>
      <c r="E23" s="13">
        <v>1662</v>
      </c>
      <c r="F23" s="58">
        <f t="shared" si="0"/>
        <v>8.2090289439889358E-2</v>
      </c>
      <c r="G23" s="59">
        <f t="shared" si="1"/>
        <v>51.953552247531611</v>
      </c>
    </row>
    <row r="24" spans="1:7" ht="15" x14ac:dyDescent="0.2">
      <c r="A24" s="54">
        <v>1</v>
      </c>
      <c r="B24" s="13" t="s">
        <v>300</v>
      </c>
      <c r="C24" s="57">
        <v>16</v>
      </c>
      <c r="D24" s="13">
        <v>10504</v>
      </c>
      <c r="E24" s="13">
        <v>837</v>
      </c>
      <c r="F24" s="58">
        <f t="shared" si="0"/>
        <v>7.9683929931454678E-2</v>
      </c>
      <c r="G24" s="59">
        <f t="shared" si="1"/>
        <v>53.522487471426174</v>
      </c>
    </row>
    <row r="25" spans="1:7" ht="15" x14ac:dyDescent="0.2">
      <c r="A25" s="54">
        <v>19</v>
      </c>
      <c r="B25" s="13" t="s">
        <v>316</v>
      </c>
      <c r="C25" s="57">
        <v>21</v>
      </c>
      <c r="D25" s="13">
        <v>6172</v>
      </c>
      <c r="E25" s="13">
        <v>478</v>
      </c>
      <c r="F25" s="58">
        <f t="shared" si="0"/>
        <v>7.7446532728451076E-2</v>
      </c>
      <c r="G25" s="59">
        <f t="shared" si="1"/>
        <v>55.068729240392699</v>
      </c>
    </row>
    <row r="26" spans="1:7" ht="15" x14ac:dyDescent="0.2">
      <c r="A26" s="54">
        <v>16</v>
      </c>
      <c r="B26" s="13" t="s">
        <v>313</v>
      </c>
      <c r="C26" s="57">
        <v>47</v>
      </c>
      <c r="D26" s="13">
        <v>14055</v>
      </c>
      <c r="E26" s="13">
        <v>1082</v>
      </c>
      <c r="F26" s="58">
        <f t="shared" si="0"/>
        <v>7.6983279971540378E-2</v>
      </c>
      <c r="G26" s="59">
        <f t="shared" si="1"/>
        <v>55.400109517377672</v>
      </c>
    </row>
    <row r="27" spans="1:7" ht="15" x14ac:dyDescent="0.2">
      <c r="A27" s="54">
        <v>11</v>
      </c>
      <c r="B27" s="13" t="s">
        <v>310</v>
      </c>
      <c r="C27" s="60">
        <v>34</v>
      </c>
      <c r="D27" s="13">
        <v>8212</v>
      </c>
      <c r="E27" s="13">
        <v>632</v>
      </c>
      <c r="F27" s="58">
        <f t="shared" si="0"/>
        <v>7.6960545543107647E-2</v>
      </c>
      <c r="G27" s="59">
        <f t="shared" si="1"/>
        <v>55.416474913647932</v>
      </c>
    </row>
    <row r="28" spans="1:7" ht="15" x14ac:dyDescent="0.2">
      <c r="A28" s="54">
        <v>30</v>
      </c>
      <c r="B28" s="13" t="s">
        <v>327</v>
      </c>
      <c r="C28" s="57">
        <v>40</v>
      </c>
      <c r="D28" s="13">
        <v>17107</v>
      </c>
      <c r="E28" s="13">
        <v>1279</v>
      </c>
      <c r="F28" s="58">
        <f t="shared" si="0"/>
        <v>7.4764716198047587E-2</v>
      </c>
      <c r="G28" s="59">
        <f t="shared" si="1"/>
        <v>57.044049095737179</v>
      </c>
    </row>
    <row r="29" spans="1:7" ht="15" x14ac:dyDescent="0.2">
      <c r="A29" s="54">
        <v>45</v>
      </c>
      <c r="B29" s="13" t="s">
        <v>342</v>
      </c>
      <c r="C29" s="57">
        <v>4</v>
      </c>
      <c r="D29" s="13">
        <v>36046</v>
      </c>
      <c r="E29" s="13">
        <v>2659</v>
      </c>
      <c r="F29" s="58">
        <f t="shared" si="0"/>
        <v>7.3766853465016921E-2</v>
      </c>
      <c r="G29" s="59">
        <f t="shared" si="1"/>
        <v>57.815698258742387</v>
      </c>
    </row>
    <row r="30" spans="1:7" ht="15" x14ac:dyDescent="0.2">
      <c r="A30" s="54">
        <v>35</v>
      </c>
      <c r="B30" s="13" t="s">
        <v>332</v>
      </c>
      <c r="C30" s="57">
        <v>25</v>
      </c>
      <c r="D30" s="13">
        <v>6338</v>
      </c>
      <c r="E30" s="13">
        <v>443</v>
      </c>
      <c r="F30" s="58">
        <f t="shared" si="0"/>
        <v>6.9895866203849799E-2</v>
      </c>
      <c r="G30" s="59">
        <f t="shared" si="1"/>
        <v>61.017659170169615</v>
      </c>
    </row>
    <row r="31" spans="1:7" ht="15" x14ac:dyDescent="0.2">
      <c r="A31" s="54">
        <v>41</v>
      </c>
      <c r="B31" s="13" t="s">
        <v>338</v>
      </c>
      <c r="C31" s="57">
        <v>11</v>
      </c>
      <c r="D31" s="13">
        <v>11339</v>
      </c>
      <c r="E31" s="13">
        <v>792</v>
      </c>
      <c r="F31" s="58">
        <f t="shared" si="0"/>
        <v>6.9847429226563187E-2</v>
      </c>
      <c r="G31" s="59">
        <f t="shared" si="1"/>
        <v>61.059972981916658</v>
      </c>
    </row>
    <row r="32" spans="1:7" ht="15" x14ac:dyDescent="0.2">
      <c r="A32" s="54">
        <v>36</v>
      </c>
      <c r="B32" s="13" t="s">
        <v>333</v>
      </c>
      <c r="C32" s="57">
        <v>46</v>
      </c>
      <c r="D32" s="13">
        <v>16404</v>
      </c>
      <c r="E32" s="13">
        <v>1137</v>
      </c>
      <c r="F32" s="58">
        <f t="shared" si="0"/>
        <v>6.9312362838332114E-2</v>
      </c>
      <c r="G32" s="59">
        <f t="shared" si="1"/>
        <v>61.531333903273854</v>
      </c>
    </row>
    <row r="33" spans="1:10" ht="15" x14ac:dyDescent="0.2">
      <c r="A33" s="54">
        <v>7</v>
      </c>
      <c r="B33" s="13" t="s">
        <v>306</v>
      </c>
      <c r="C33" s="57">
        <v>42</v>
      </c>
      <c r="D33" s="13">
        <v>5743</v>
      </c>
      <c r="E33" s="13">
        <v>392</v>
      </c>
      <c r="F33" s="58">
        <f t="shared" si="0"/>
        <v>6.8257008532126073E-2</v>
      </c>
      <c r="G33" s="59">
        <f t="shared" si="1"/>
        <v>62.482699332229899</v>
      </c>
    </row>
    <row r="34" spans="1:10" ht="15" x14ac:dyDescent="0.2">
      <c r="A34" s="54">
        <v>5</v>
      </c>
      <c r="B34" s="13" t="s">
        <v>304</v>
      </c>
      <c r="C34" s="57">
        <v>27</v>
      </c>
      <c r="D34" s="13">
        <v>8795</v>
      </c>
      <c r="E34" s="13">
        <v>592</v>
      </c>
      <c r="F34" s="58">
        <f t="shared" ref="F34:F51" si="2">(E34/D34)</f>
        <v>6.7310972143263217E-2</v>
      </c>
      <c r="G34" s="59">
        <f t="shared" ref="G34:G50" si="3">($F$51/F34)*$G$51</f>
        <v>63.360875732904297</v>
      </c>
    </row>
    <row r="35" spans="1:10" ht="15" x14ac:dyDescent="0.2">
      <c r="A35" s="54">
        <v>42</v>
      </c>
      <c r="B35" s="13" t="s">
        <v>339</v>
      </c>
      <c r="C35" s="57">
        <v>7</v>
      </c>
      <c r="D35" s="13">
        <v>3426</v>
      </c>
      <c r="E35" s="13">
        <v>225</v>
      </c>
      <c r="F35" s="58">
        <f t="shared" si="2"/>
        <v>6.5674255691768824E-2</v>
      </c>
      <c r="G35" s="59">
        <f t="shared" si="3"/>
        <v>64.939938740178462</v>
      </c>
    </row>
    <row r="36" spans="1:10" ht="15" x14ac:dyDescent="0.2">
      <c r="A36" s="54">
        <v>3</v>
      </c>
      <c r="B36" s="13" t="s">
        <v>302</v>
      </c>
      <c r="C36" s="57">
        <v>30</v>
      </c>
      <c r="D36" s="13">
        <v>4745</v>
      </c>
      <c r="E36" s="13">
        <v>309</v>
      </c>
      <c r="F36" s="58">
        <f t="shared" si="2"/>
        <v>6.5121180189673347E-2</v>
      </c>
      <c r="G36" s="59">
        <f t="shared" si="3"/>
        <v>65.491474954973114</v>
      </c>
    </row>
    <row r="37" spans="1:10" ht="15" x14ac:dyDescent="0.2">
      <c r="A37" s="54">
        <v>27</v>
      </c>
      <c r="B37" s="13" t="s">
        <v>324</v>
      </c>
      <c r="C37" s="57">
        <v>3</v>
      </c>
      <c r="D37" s="13">
        <v>18669</v>
      </c>
      <c r="E37" s="13">
        <v>1201</v>
      </c>
      <c r="F37" s="58">
        <f t="shared" si="2"/>
        <v>6.4331244308747121E-2</v>
      </c>
      <c r="G37" s="59">
        <f t="shared" si="3"/>
        <v>66.295657534023292</v>
      </c>
    </row>
    <row r="38" spans="1:10" ht="15" x14ac:dyDescent="0.2">
      <c r="A38" s="54">
        <v>22</v>
      </c>
      <c r="B38" s="13" t="s">
        <v>319</v>
      </c>
      <c r="C38" s="57">
        <v>50</v>
      </c>
      <c r="D38" s="13">
        <v>4187</v>
      </c>
      <c r="E38" s="13">
        <v>265</v>
      </c>
      <c r="F38" s="58">
        <f t="shared" si="2"/>
        <v>6.3291139240506333E-2</v>
      </c>
      <c r="G38" s="59">
        <f t="shared" si="3"/>
        <v>67.385137834598481</v>
      </c>
    </row>
    <row r="39" spans="1:10" ht="15" x14ac:dyDescent="0.2">
      <c r="A39" s="54">
        <v>9</v>
      </c>
      <c r="B39" s="13" t="s">
        <v>308</v>
      </c>
      <c r="C39" s="57">
        <v>36</v>
      </c>
      <c r="D39" s="13">
        <v>3636</v>
      </c>
      <c r="E39" s="13">
        <v>230</v>
      </c>
      <c r="F39" s="58">
        <f t="shared" si="2"/>
        <v>6.3256325632563254E-2</v>
      </c>
      <c r="G39" s="59">
        <f t="shared" si="3"/>
        <v>67.422223766263102</v>
      </c>
    </row>
    <row r="40" spans="1:10" ht="15" x14ac:dyDescent="0.2">
      <c r="A40" s="54">
        <v>43</v>
      </c>
      <c r="B40" s="13" t="s">
        <v>340</v>
      </c>
      <c r="C40" s="57">
        <v>13</v>
      </c>
      <c r="D40" s="13">
        <v>13649</v>
      </c>
      <c r="E40" s="13">
        <v>856</v>
      </c>
      <c r="F40" s="58">
        <f t="shared" si="2"/>
        <v>6.2715217232031648E-2</v>
      </c>
      <c r="G40" s="59">
        <f t="shared" si="3"/>
        <v>68.003944332221906</v>
      </c>
    </row>
    <row r="41" spans="1:10" ht="15" x14ac:dyDescent="0.2">
      <c r="A41" s="54">
        <v>37</v>
      </c>
      <c r="B41" s="13" t="s">
        <v>334</v>
      </c>
      <c r="C41" s="57">
        <v>22</v>
      </c>
      <c r="D41" s="13">
        <v>6116</v>
      </c>
      <c r="E41" s="13">
        <v>375</v>
      </c>
      <c r="F41" s="58">
        <f t="shared" si="2"/>
        <v>6.1314584695879658E-2</v>
      </c>
      <c r="G41" s="59">
        <f t="shared" si="3"/>
        <v>69.557384471966969</v>
      </c>
    </row>
    <row r="42" spans="1:10" ht="15" x14ac:dyDescent="0.2">
      <c r="A42" s="54">
        <v>32</v>
      </c>
      <c r="B42" s="13" t="s">
        <v>329</v>
      </c>
      <c r="C42" s="57">
        <v>26</v>
      </c>
      <c r="D42" s="13">
        <v>10803</v>
      </c>
      <c r="E42" s="13">
        <v>649</v>
      </c>
      <c r="F42" s="58">
        <f t="shared" si="2"/>
        <v>6.00759048412478E-2</v>
      </c>
      <c r="G42" s="59">
        <f t="shared" si="3"/>
        <v>70.991558973607638</v>
      </c>
    </row>
    <row r="43" spans="1:10" ht="15" x14ac:dyDescent="0.2">
      <c r="A43" s="54">
        <v>14</v>
      </c>
      <c r="B43" s="13" t="s">
        <v>312</v>
      </c>
      <c r="C43" s="57">
        <v>14</v>
      </c>
      <c r="D43" s="13">
        <v>24795</v>
      </c>
      <c r="E43" s="13">
        <v>1431</v>
      </c>
      <c r="F43" s="58">
        <f t="shared" si="2"/>
        <v>5.7713248638838477E-2</v>
      </c>
      <c r="G43" s="59">
        <f t="shared" si="3"/>
        <v>73.89780062666938</v>
      </c>
    </row>
    <row r="44" spans="1:10" ht="15" x14ac:dyDescent="0.2">
      <c r="A44" s="54">
        <v>18</v>
      </c>
      <c r="B44" s="13" t="s">
        <v>315</v>
      </c>
      <c r="C44" s="57">
        <v>35</v>
      </c>
      <c r="D44" s="13">
        <v>4092</v>
      </c>
      <c r="E44" s="13">
        <v>231</v>
      </c>
      <c r="F44" s="58">
        <f t="shared" si="2"/>
        <v>5.6451612903225805E-2</v>
      </c>
      <c r="G44" s="59">
        <f t="shared" si="3"/>
        <v>75.549340791050739</v>
      </c>
      <c r="J44" s="52"/>
    </row>
    <row r="45" spans="1:10" ht="15" x14ac:dyDescent="0.2">
      <c r="A45" s="54">
        <v>48</v>
      </c>
      <c r="B45" s="13" t="s">
        <v>345</v>
      </c>
      <c r="C45" s="57">
        <v>32</v>
      </c>
      <c r="D45" s="13">
        <v>3347</v>
      </c>
      <c r="E45" s="13">
        <v>188</v>
      </c>
      <c r="F45" s="58">
        <f t="shared" si="2"/>
        <v>5.6169704212727815E-2</v>
      </c>
      <c r="G45" s="59">
        <f t="shared" si="3"/>
        <v>75.928513443442341</v>
      </c>
      <c r="J45" s="52"/>
    </row>
    <row r="46" spans="1:10" ht="15" x14ac:dyDescent="0.2">
      <c r="A46" s="54">
        <v>47</v>
      </c>
      <c r="B46" s="13" t="s">
        <v>344</v>
      </c>
      <c r="C46" s="57">
        <v>43</v>
      </c>
      <c r="D46" s="13">
        <v>12584</v>
      </c>
      <c r="E46" s="13">
        <v>705</v>
      </c>
      <c r="F46" s="58">
        <f t="shared" si="2"/>
        <v>5.6023521932612841E-2</v>
      </c>
      <c r="G46" s="59">
        <f t="shared" si="3"/>
        <v>76.126633854976859</v>
      </c>
      <c r="J46" s="52"/>
    </row>
    <row r="47" spans="1:10" ht="15" x14ac:dyDescent="0.2">
      <c r="A47" s="54">
        <v>6</v>
      </c>
      <c r="B47" s="13" t="s">
        <v>305</v>
      </c>
      <c r="C47" s="57">
        <v>20</v>
      </c>
      <c r="D47" s="13">
        <v>17440</v>
      </c>
      <c r="E47" s="13">
        <v>958</v>
      </c>
      <c r="F47" s="58">
        <f t="shared" si="2"/>
        <v>5.4931192660550458E-2</v>
      </c>
      <c r="G47" s="59">
        <f t="shared" si="3"/>
        <v>77.640443159231893</v>
      </c>
      <c r="J47" s="52"/>
    </row>
    <row r="48" spans="1:10" ht="15" x14ac:dyDescent="0.2">
      <c r="A48" s="54">
        <v>10</v>
      </c>
      <c r="B48" s="13" t="s">
        <v>309</v>
      </c>
      <c r="C48" s="57">
        <v>28</v>
      </c>
      <c r="D48" s="13">
        <v>7825</v>
      </c>
      <c r="E48" s="13">
        <v>416</v>
      </c>
      <c r="F48" s="58">
        <f t="shared" si="2"/>
        <v>5.3162939297124602E-2</v>
      </c>
      <c r="G48" s="59">
        <f t="shared" si="3"/>
        <v>80.222843165124928</v>
      </c>
      <c r="J48" s="52"/>
    </row>
    <row r="49" spans="1:7" ht="15" x14ac:dyDescent="0.2">
      <c r="A49" s="54">
        <v>13</v>
      </c>
      <c r="B49" s="13" t="s">
        <v>348</v>
      </c>
      <c r="C49" s="57">
        <v>38</v>
      </c>
      <c r="D49" s="13">
        <v>3746</v>
      </c>
      <c r="E49" s="13">
        <v>183</v>
      </c>
      <c r="F49" s="58">
        <f t="shared" si="2"/>
        <v>4.8852108916177257E-2</v>
      </c>
      <c r="G49" s="59">
        <f t="shared" si="3"/>
        <v>87.301904381408974</v>
      </c>
    </row>
    <row r="50" spans="1:7" ht="15" x14ac:dyDescent="0.2">
      <c r="A50" s="54">
        <v>24</v>
      </c>
      <c r="B50" s="13" t="s">
        <v>321</v>
      </c>
      <c r="C50" s="57">
        <v>24</v>
      </c>
      <c r="D50" s="13">
        <v>8643</v>
      </c>
      <c r="E50" s="13">
        <v>417</v>
      </c>
      <c r="F50" s="58">
        <f t="shared" si="2"/>
        <v>4.8247136410968415E-2</v>
      </c>
      <c r="G50" s="59">
        <f t="shared" si="3"/>
        <v>88.396585967342787</v>
      </c>
    </row>
    <row r="51" spans="1:7" ht="15" x14ac:dyDescent="0.2">
      <c r="A51" s="54">
        <v>12</v>
      </c>
      <c r="B51" s="13" t="s">
        <v>311</v>
      </c>
      <c r="C51" s="57">
        <v>18</v>
      </c>
      <c r="D51" s="13">
        <v>10012</v>
      </c>
      <c r="E51" s="13">
        <v>427</v>
      </c>
      <c r="F51" s="58">
        <f t="shared" si="2"/>
        <v>4.2648821414302839E-2</v>
      </c>
      <c r="G51" s="59">
        <v>100</v>
      </c>
    </row>
    <row r="52" spans="1:7" ht="15" x14ac:dyDescent="0.2">
      <c r="F52" s="51"/>
    </row>
  </sheetData>
  <sortState xmlns:xlrd2="http://schemas.microsoft.com/office/spreadsheetml/2017/richdata2" ref="B2:F51">
    <sortCondition descending="1" ref="F2:F51"/>
  </sortState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max manual challan table</vt:lpstr>
      <vt:lpstr>Final Ranking-Nov</vt:lpstr>
      <vt:lpstr>Final Ranking Oct</vt:lpstr>
      <vt:lpstr>max cash table</vt:lpstr>
      <vt:lpstr>Online Revenue_Nov 2021</vt:lpstr>
      <vt:lpstr>sarathi pendency Nov 2021</vt:lpstr>
      <vt:lpstr>vahan pendency_Nov 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2026-02-12T04:59:41Z</dcterms:modified>
</cp:coreProperties>
</file>